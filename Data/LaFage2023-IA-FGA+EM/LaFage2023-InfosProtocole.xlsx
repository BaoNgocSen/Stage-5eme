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queryTables/queryTable91.xml" ContentType="application/vnd.openxmlformats-officedocument.spreadsheetml.queryTable+xml"/>
  <Override PartName="/xl/queryTables/queryTable92.xml" ContentType="application/vnd.openxmlformats-officedocument.spreadsheetml.queryTable+xml"/>
  <Override PartName="/xl/queryTables/queryTable93.xml" ContentType="application/vnd.openxmlformats-officedocument.spreadsheetml.queryTable+xml"/>
  <Override PartName="/xl/queryTables/queryTable94.xml" ContentType="application/vnd.openxmlformats-officedocument.spreadsheetml.queryTable+xml"/>
  <Override PartName="/xl/queryTables/queryTable95.xml" ContentType="application/vnd.openxmlformats-officedocument.spreadsheetml.queryTable+xml"/>
  <Override PartName="/xl/queryTables/queryTable96.xml" ContentType="application/vnd.openxmlformats-officedocument.spreadsheetml.queryTable+xml"/>
  <Override PartName="/xl/queryTables/queryTable97.xml" ContentType="application/vnd.openxmlformats-officedocument.spreadsheetml.queryTable+xml"/>
  <Override PartName="/xl/queryTables/queryTable98.xml" ContentType="application/vnd.openxmlformats-officedocument.spreadsheetml.queryTable+xml"/>
  <Override PartName="/xl/queryTables/queryTable99.xml" ContentType="application/vnd.openxmlformats-officedocument.spreadsheetml.queryTable+xml"/>
  <Override PartName="/xl/queryTables/queryTable100.xml" ContentType="application/vnd.openxmlformats-officedocument.spreadsheetml.queryTable+xml"/>
  <Override PartName="/xl/queryTables/queryTable101.xml" ContentType="application/vnd.openxmlformats-officedocument.spreadsheetml.queryTable+xml"/>
  <Override PartName="/xl/queryTables/queryTable102.xml" ContentType="application/vnd.openxmlformats-officedocument.spreadsheetml.queryTable+xml"/>
  <Override PartName="/xl/queryTables/queryTable103.xml" ContentType="application/vnd.openxmlformats-officedocument.spreadsheetml.queryTable+xml"/>
  <Override PartName="/xl/queryTables/queryTable104.xml" ContentType="application/vnd.openxmlformats-officedocument.spreadsheetml.queryTable+xml"/>
  <Override PartName="/xl/queryTables/queryTable105.xml" ContentType="application/vnd.openxmlformats-officedocument.spreadsheetml.queryTable+xml"/>
  <Override PartName="/xl/queryTables/queryTable106.xml" ContentType="application/vnd.openxmlformats-officedocument.spreadsheetml.queryTable+xml"/>
  <Override PartName="/xl/queryTables/queryTable107.xml" ContentType="application/vnd.openxmlformats-officedocument.spreadsheetml.queryTable+xml"/>
  <Override PartName="/xl/queryTables/queryTable108.xml" ContentType="application/vnd.openxmlformats-officedocument.spreadsheetml.queryTable+xml"/>
  <Override PartName="/xl/queryTables/queryTable109.xml" ContentType="application/vnd.openxmlformats-officedocument.spreadsheetml.queryTable+xml"/>
  <Override PartName="/xl/queryTables/queryTable110.xml" ContentType="application/vnd.openxmlformats-officedocument.spreadsheetml.queryTable+xml"/>
  <Override PartName="/xl/queryTables/queryTable111.xml" ContentType="application/vnd.openxmlformats-officedocument.spreadsheetml.queryTable+xml"/>
  <Override PartName="/xl/queryTables/queryTable112.xml" ContentType="application/vnd.openxmlformats-officedocument.spreadsheetml.queryTable+xml"/>
  <Override PartName="/xl/queryTables/queryTable113.xml" ContentType="application/vnd.openxmlformats-officedocument.spreadsheetml.queryTable+xml"/>
  <Override PartName="/xl/queryTables/queryTable114.xml" ContentType="application/vnd.openxmlformats-officedocument.spreadsheetml.queryTable+xml"/>
  <Override PartName="/xl/queryTables/queryTable115.xml" ContentType="application/vnd.openxmlformats-officedocument.spreadsheetml.queryTable+xml"/>
  <Override PartName="/xl/queryTables/queryTable116.xml" ContentType="application/vnd.openxmlformats-officedocument.spreadsheetml.queryTable+xml"/>
  <Override PartName="/xl/queryTables/queryTable117.xml" ContentType="application/vnd.openxmlformats-officedocument.spreadsheetml.queryTable+xml"/>
  <Override PartName="/xl/queryTables/queryTable118.xml" ContentType="application/vnd.openxmlformats-officedocument.spreadsheetml.queryTable+xml"/>
  <Override PartName="/xl/queryTables/queryTable119.xml" ContentType="application/vnd.openxmlformats-officedocument.spreadsheetml.queryTable+xml"/>
  <Override PartName="/xl/queryTables/queryTable120.xml" ContentType="application/vnd.openxmlformats-officedocument.spreadsheetml.queryTable+xml"/>
  <Override PartName="/xl/queryTables/queryTable121.xml" ContentType="application/vnd.openxmlformats-officedocument.spreadsheetml.queryTable+xml"/>
  <Override PartName="/xl/queryTables/queryTable122.xml" ContentType="application/vnd.openxmlformats-officedocument.spreadsheetml.queryTable+xml"/>
  <Override PartName="/xl/queryTables/queryTable123.xml" ContentType="application/vnd.openxmlformats-officedocument.spreadsheetml.queryTable+xml"/>
  <Override PartName="/xl/queryTables/queryTable124.xml" ContentType="application/vnd.openxmlformats-officedocument.spreadsheetml.queryTable+xml"/>
  <Override PartName="/xl/queryTables/queryTable125.xml" ContentType="application/vnd.openxmlformats-officedocument.spreadsheetml.queryTable+xml"/>
  <Override PartName="/xl/queryTables/queryTable126.xml" ContentType="application/vnd.openxmlformats-officedocument.spreadsheetml.queryTable+xml"/>
  <Override PartName="/xl/queryTables/queryTable127.xml" ContentType="application/vnd.openxmlformats-officedocument.spreadsheetml.queryTable+xml"/>
  <Override PartName="/xl/queryTables/queryTable128.xml" ContentType="application/vnd.openxmlformats-officedocument.spreadsheetml.queryTable+xml"/>
  <Override PartName="/xl/queryTables/queryTable129.xml" ContentType="application/vnd.openxmlformats-officedocument.spreadsheetml.queryTable+xml"/>
  <Override PartName="/xl/queryTables/queryTable130.xml" ContentType="application/vnd.openxmlformats-officedocument.spreadsheetml.queryTable+xml"/>
  <Override PartName="/xl/queryTables/queryTable131.xml" ContentType="application/vnd.openxmlformats-officedocument.spreadsheetml.queryTable+xml"/>
  <Override PartName="/xl/queryTables/queryTable132.xml" ContentType="application/vnd.openxmlformats-officedocument.spreadsheetml.queryTable+xml"/>
  <Override PartName="/xl/queryTables/queryTable133.xml" ContentType="application/vnd.openxmlformats-officedocument.spreadsheetml.queryTable+xml"/>
  <Override PartName="/xl/queryTables/queryTable134.xml" ContentType="application/vnd.openxmlformats-officedocument.spreadsheetml.queryTable+xml"/>
  <Override PartName="/xl/queryTables/queryTable135.xml" ContentType="application/vnd.openxmlformats-officedocument.spreadsheetml.queryTable+xml"/>
  <Override PartName="/xl/queryTables/queryTable136.xml" ContentType="application/vnd.openxmlformats-officedocument.spreadsheetml.queryTable+xml"/>
  <Override PartName="/xl/queryTables/queryTable137.xml" ContentType="application/vnd.openxmlformats-officedocument.spreadsheetml.queryTable+xml"/>
  <Override PartName="/xl/queryTables/queryTable138.xml" ContentType="application/vnd.openxmlformats-officedocument.spreadsheetml.queryTable+xml"/>
  <Override PartName="/xl/queryTables/queryTable139.xml" ContentType="application/vnd.openxmlformats-officedocument.spreadsheetml.queryTable+xml"/>
  <Override PartName="/xl/queryTables/queryTable140.xml" ContentType="application/vnd.openxmlformats-officedocument.spreadsheetml.queryTable+xml"/>
  <Override PartName="/xl/queryTables/queryTable141.xml" ContentType="application/vnd.openxmlformats-officedocument.spreadsheetml.queryTable+xml"/>
  <Override PartName="/xl/queryTables/queryTable142.xml" ContentType="application/vnd.openxmlformats-officedocument.spreadsheetml.queryTable+xml"/>
  <Override PartName="/xl/queryTables/queryTable143.xml" ContentType="application/vnd.openxmlformats-officedocument.spreadsheetml.queryTable+xml"/>
  <Override PartName="/xl/queryTables/queryTable144.xml" ContentType="application/vnd.openxmlformats-officedocument.spreadsheetml.queryTable+xml"/>
  <Override PartName="/xl/queryTables/queryTable145.xml" ContentType="application/vnd.openxmlformats-officedocument.spreadsheetml.queryTable+xml"/>
  <Override PartName="/xl/queryTables/queryTable146.xml" ContentType="application/vnd.openxmlformats-officedocument.spreadsheetml.queryTable+xml"/>
  <Override PartName="/xl/queryTables/queryTable147.xml" ContentType="application/vnd.openxmlformats-officedocument.spreadsheetml.queryTable+xml"/>
  <Override PartName="/xl/queryTables/queryTable148.xml" ContentType="application/vnd.openxmlformats-officedocument.spreadsheetml.queryTable+xml"/>
  <Override PartName="/xl/queryTables/queryTable149.xml" ContentType="application/vnd.openxmlformats-officedocument.spreadsheetml.queryTable+xml"/>
  <Override PartName="/xl/queryTables/queryTable150.xml" ContentType="application/vnd.openxmlformats-officedocument.spreadsheetml.queryTable+xml"/>
  <Override PartName="/xl/queryTables/queryTable151.xml" ContentType="application/vnd.openxmlformats-officedocument.spreadsheetml.queryTable+xml"/>
  <Override PartName="/xl/queryTables/queryTable152.xml" ContentType="application/vnd.openxmlformats-officedocument.spreadsheetml.queryTable+xml"/>
  <Override PartName="/xl/queryTables/queryTable153.xml" ContentType="application/vnd.openxmlformats-officedocument.spreadsheetml.queryTable+xml"/>
  <Override PartName="/xl/queryTables/queryTable154.xml" ContentType="application/vnd.openxmlformats-officedocument.spreadsheetml.queryTable+xml"/>
  <Override PartName="/xl/queryTables/queryTable155.xml" ContentType="application/vnd.openxmlformats-officedocument.spreadsheetml.queryTable+xml"/>
  <Override PartName="/xl/queryTables/queryTable156.xml" ContentType="application/vnd.openxmlformats-officedocument.spreadsheetml.queryTable+xml"/>
  <Override PartName="/xl/queryTables/queryTable157.xml" ContentType="application/vnd.openxmlformats-officedocument.spreadsheetml.queryTable+xml"/>
  <Override PartName="/xl/queryTables/queryTable158.xml" ContentType="application/vnd.openxmlformats-officedocument.spreadsheetml.queryTable+xml"/>
  <Override PartName="/xl/queryTables/queryTable159.xml" ContentType="application/vnd.openxmlformats-officedocument.spreadsheetml.queryTable+xml"/>
  <Override PartName="/xl/queryTables/queryTable160.xml" ContentType="application/vnd.openxmlformats-officedocument.spreadsheetml.queryTable+xml"/>
  <Override PartName="/xl/queryTables/queryTable161.xml" ContentType="application/vnd.openxmlformats-officedocument.spreadsheetml.queryTable+xml"/>
  <Override PartName="/xl/queryTables/queryTable162.xml" ContentType="application/vnd.openxmlformats-officedocument.spreadsheetml.queryTable+xml"/>
  <Override PartName="/xl/queryTables/queryTable163.xml" ContentType="application/vnd.openxmlformats-officedocument.spreadsheetml.queryTable+xml"/>
  <Override PartName="/xl/queryTables/queryTable164.xml" ContentType="application/vnd.openxmlformats-officedocument.spreadsheetml.queryTable+xml"/>
  <Override PartName="/xl/queryTables/queryTable165.xml" ContentType="application/vnd.openxmlformats-officedocument.spreadsheetml.queryTable+xml"/>
  <Override PartName="/xl/queryTables/queryTable166.xml" ContentType="application/vnd.openxmlformats-officedocument.spreadsheetml.queryTable+xml"/>
  <Override PartName="/xl/queryTables/queryTable167.xml" ContentType="application/vnd.openxmlformats-officedocument.spreadsheetml.queryTable+xml"/>
  <Override PartName="/xl/queryTables/queryTable168.xml" ContentType="application/vnd.openxmlformats-officedocument.spreadsheetml.queryTable+xml"/>
  <Override PartName="/xl/queryTables/queryTable169.xml" ContentType="application/vnd.openxmlformats-officedocument.spreadsheetml.queryTable+xml"/>
  <Override PartName="/xl/queryTables/queryTable170.xml" ContentType="application/vnd.openxmlformats-officedocument.spreadsheetml.queryTable+xml"/>
  <Override PartName="/xl/queryTables/queryTable171.xml" ContentType="application/vnd.openxmlformats-officedocument.spreadsheetml.queryTable+xml"/>
  <Override PartName="/xl/queryTables/queryTable172.xml" ContentType="application/vnd.openxmlformats-officedocument.spreadsheetml.queryTable+xml"/>
  <Override PartName="/xl/queryTables/queryTable173.xml" ContentType="application/vnd.openxmlformats-officedocument.spreadsheetml.queryTable+xml"/>
  <Override PartName="/xl/queryTables/queryTable174.xml" ContentType="application/vnd.openxmlformats-officedocument.spreadsheetml.queryTable+xml"/>
  <Override PartName="/xl/queryTables/queryTable175.xml" ContentType="application/vnd.openxmlformats-officedocument.spreadsheetml.queryTable+xml"/>
  <Override PartName="/xl/queryTables/queryTable176.xml" ContentType="application/vnd.openxmlformats-officedocument.spreadsheetml.queryTable+xml"/>
  <Override PartName="/xl/queryTables/queryTable177.xml" ContentType="application/vnd.openxmlformats-officedocument.spreadsheetml.queryTable+xml"/>
  <Override PartName="/xl/queryTables/queryTable178.xml" ContentType="application/vnd.openxmlformats-officedocument.spreadsheetml.queryTable+xml"/>
  <Override PartName="/xl/queryTables/queryTable179.xml" ContentType="application/vnd.openxmlformats-officedocument.spreadsheetml.queryTable+xml"/>
  <Override PartName="/xl/queryTables/queryTable180.xml" ContentType="application/vnd.openxmlformats-officedocument.spreadsheetml.queryTable+xml"/>
  <Override PartName="/xl/queryTables/queryTable181.xml" ContentType="application/vnd.openxmlformats-officedocument.spreadsheetml.queryTable+xml"/>
  <Override PartName="/xl/queryTables/queryTable182.xml" ContentType="application/vnd.openxmlformats-officedocument.spreadsheetml.queryTable+xml"/>
  <Override PartName="/xl/queryTables/queryTable183.xml" ContentType="application/vnd.openxmlformats-officedocument.spreadsheetml.queryTable+xml"/>
  <Override PartName="/xl/queryTables/queryTable184.xml" ContentType="application/vnd.openxmlformats-officedocument.spreadsheetml.queryTable+xml"/>
  <Override PartName="/xl/queryTables/queryTable185.xml" ContentType="application/vnd.openxmlformats-officedocument.spreadsheetml.queryTable+xml"/>
  <Override PartName="/xl/queryTables/queryTable186.xml" ContentType="application/vnd.openxmlformats-officedocument.spreadsheetml.queryTable+xml"/>
  <Override PartName="/xl/queryTables/queryTable187.xml" ContentType="application/vnd.openxmlformats-officedocument.spreadsheetml.queryTable+xml"/>
  <Override PartName="/xl/queryTables/queryTable188.xml" ContentType="application/vnd.openxmlformats-officedocument.spreadsheetml.queryTable+xml"/>
  <Override PartName="/xl/queryTables/queryTable189.xml" ContentType="application/vnd.openxmlformats-officedocument.spreadsheetml.queryTable+xml"/>
  <Override PartName="/xl/queryTables/queryTable190.xml" ContentType="application/vnd.openxmlformats-officedocument.spreadsheetml.queryTable+xml"/>
  <Override PartName="/xl/queryTables/queryTable191.xml" ContentType="application/vnd.openxmlformats-officedocument.spreadsheetml.queryTable+xml"/>
  <Override PartName="/xl/queryTables/queryTable192.xml" ContentType="application/vnd.openxmlformats-officedocument.spreadsheetml.queryTable+xml"/>
  <Override PartName="/xl/queryTables/queryTable193.xml" ContentType="application/vnd.openxmlformats-officedocument.spreadsheetml.queryTable+xml"/>
  <Override PartName="/xl/queryTables/queryTable194.xml" ContentType="application/vnd.openxmlformats-officedocument.spreadsheetml.queryTable+xml"/>
  <Override PartName="/xl/queryTables/queryTable195.xml" ContentType="application/vnd.openxmlformats-officedocument.spreadsheetml.queryTable+xml"/>
  <Override PartName="/xl/queryTables/queryTable196.xml" ContentType="application/vnd.openxmlformats-officedocument.spreadsheetml.queryTable+xml"/>
  <Override PartName="/xl/queryTables/queryTable197.xml" ContentType="application/vnd.openxmlformats-officedocument.spreadsheetml.queryTable+xml"/>
  <Override PartName="/xl/queryTables/queryTable198.xml" ContentType="application/vnd.openxmlformats-officedocument.spreadsheetml.queryTable+xml"/>
  <Override PartName="/xl/queryTables/queryTable199.xml" ContentType="application/vnd.openxmlformats-officedocument.spreadsheetml.queryTable+xml"/>
  <Override PartName="/xl/queryTables/queryTable200.xml" ContentType="application/vnd.openxmlformats-officedocument.spreadsheetml.queryTable+xml"/>
  <Override PartName="/xl/queryTables/queryTable201.xml" ContentType="application/vnd.openxmlformats-officedocument.spreadsheetml.queryTable+xml"/>
  <Override PartName="/xl/queryTables/queryTable202.xml" ContentType="application/vnd.openxmlformats-officedocument.spreadsheetml.queryTable+xml"/>
  <Override PartName="/xl/queryTables/queryTable203.xml" ContentType="application/vnd.openxmlformats-officedocument.spreadsheetml.queryTable+xml"/>
  <Override PartName="/xl/queryTables/queryTable204.xml" ContentType="application/vnd.openxmlformats-officedocument.spreadsheetml.queryTable+xml"/>
  <Override PartName="/xl/queryTables/queryTable205.xml" ContentType="application/vnd.openxmlformats-officedocument.spreadsheetml.queryTable+xml"/>
  <Override PartName="/xl/queryTables/queryTable206.xml" ContentType="application/vnd.openxmlformats-officedocument.spreadsheetml.queryTable+xml"/>
  <Override PartName="/xl/queryTables/queryTable207.xml" ContentType="application/vnd.openxmlformats-officedocument.spreadsheetml.queryTable+xml"/>
  <Override PartName="/xl/queryTables/queryTable208.xml" ContentType="application/vnd.openxmlformats-officedocument.spreadsheetml.queryTable+xml"/>
  <Override PartName="/xl/queryTables/queryTable209.xml" ContentType="application/vnd.openxmlformats-officedocument.spreadsheetml.queryTable+xml"/>
  <Override PartName="/xl/queryTables/queryTable210.xml" ContentType="application/vnd.openxmlformats-officedocument.spreadsheetml.queryTable+xml"/>
  <Override PartName="/xl/queryTables/queryTable211.xml" ContentType="application/vnd.openxmlformats-officedocument.spreadsheetml.queryTable+xml"/>
  <Override PartName="/xl/queryTables/queryTable212.xml" ContentType="application/vnd.openxmlformats-officedocument.spreadsheetml.queryTable+xml"/>
  <Override PartName="/xl/queryTables/queryTable213.xml" ContentType="application/vnd.openxmlformats-officedocument.spreadsheetml.queryTable+xml"/>
  <Override PartName="/xl/queryTables/queryTable214.xml" ContentType="application/vnd.openxmlformats-officedocument.spreadsheetml.queryTable+xml"/>
  <Override PartName="/xl/queryTables/queryTable215.xml" ContentType="application/vnd.openxmlformats-officedocument.spreadsheetml.queryTable+xml"/>
  <Override PartName="/xl/queryTables/queryTable216.xml" ContentType="application/vnd.openxmlformats-officedocument.spreadsheetml.queryTable+xml"/>
  <Override PartName="/xl/queryTables/queryTable217.xml" ContentType="application/vnd.openxmlformats-officedocument.spreadsheetml.queryTable+xml"/>
  <Override PartName="/xl/queryTables/queryTable218.xml" ContentType="application/vnd.openxmlformats-officedocument.spreadsheetml.queryTable+xml"/>
  <Override PartName="/xl/queryTables/queryTable219.xml" ContentType="application/vnd.openxmlformats-officedocument.spreadsheetml.queryTable+xml"/>
  <Override PartName="/xl/queryTables/queryTable220.xml" ContentType="application/vnd.openxmlformats-officedocument.spreadsheetml.queryTable+xml"/>
  <Override PartName="/xl/queryTables/queryTable221.xml" ContentType="application/vnd.openxmlformats-officedocument.spreadsheetml.queryTable+xml"/>
  <Override PartName="/xl/queryTables/queryTable222.xml" ContentType="application/vnd.openxmlformats-officedocument.spreadsheetml.queryTable+xml"/>
  <Override PartName="/xl/queryTables/queryTable223.xml" ContentType="application/vnd.openxmlformats-officedocument.spreadsheetml.queryTable+xml"/>
  <Override PartName="/xl/queryTables/queryTable224.xml" ContentType="application/vnd.openxmlformats-officedocument.spreadsheetml.queryTable+xml"/>
  <Override PartName="/xl/queryTables/queryTable225.xml" ContentType="application/vnd.openxmlformats-officedocument.spreadsheetml.queryTable+xml"/>
  <Override PartName="/xl/queryTables/queryTable226.xml" ContentType="application/vnd.openxmlformats-officedocument.spreadsheetml.queryTable+xml"/>
  <Override PartName="/xl/queryTables/queryTable227.xml" ContentType="application/vnd.openxmlformats-officedocument.spreadsheetml.queryTable+xml"/>
  <Override PartName="/xl/queryTables/queryTable228.xml" ContentType="application/vnd.openxmlformats-officedocument.spreadsheetml.queryTable+xml"/>
  <Override PartName="/xl/queryTables/queryTable229.xml" ContentType="application/vnd.openxmlformats-officedocument.spreadsheetml.queryTable+xml"/>
  <Override PartName="/xl/queryTables/queryTable230.xml" ContentType="application/vnd.openxmlformats-officedocument.spreadsheetml.queryTable+xml"/>
  <Override PartName="/xl/queryTables/queryTable231.xml" ContentType="application/vnd.openxmlformats-officedocument.spreadsheetml.queryTable+xml"/>
  <Override PartName="/xl/queryTables/queryTable232.xml" ContentType="application/vnd.openxmlformats-officedocument.spreadsheetml.queryTable+xml"/>
  <Override PartName="/xl/queryTables/queryTable233.xml" ContentType="application/vnd.openxmlformats-officedocument.spreadsheetml.queryTable+xml"/>
  <Override PartName="/xl/queryTables/queryTable234.xml" ContentType="application/vnd.openxmlformats-officedocument.spreadsheetml.queryTable+xml"/>
  <Override PartName="/xl/queryTables/queryTable235.xml" ContentType="application/vnd.openxmlformats-officedocument.spreadsheetml.queryTable+xml"/>
  <Override PartName="/xl/queryTables/queryTable236.xml" ContentType="application/vnd.openxmlformats-officedocument.spreadsheetml.queryTable+xml"/>
  <Override PartName="/xl/queryTables/queryTable237.xml" ContentType="application/vnd.openxmlformats-officedocument.spreadsheetml.queryTable+xml"/>
  <Override PartName="/xl/queryTables/queryTable238.xml" ContentType="application/vnd.openxmlformats-officedocument.spreadsheetml.queryTable+xml"/>
  <Override PartName="/xl/queryTables/queryTable239.xml" ContentType="application/vnd.openxmlformats-officedocument.spreadsheetml.queryTable+xml"/>
  <Override PartName="/xl/queryTables/queryTable240.xml" ContentType="application/vnd.openxmlformats-officedocument.spreadsheetml.queryTable+xml"/>
  <Override PartName="/xl/queryTables/queryTable241.xml" ContentType="application/vnd.openxmlformats-officedocument.spreadsheetml.queryTable+xml"/>
  <Override PartName="/xl/queryTables/queryTable242.xml" ContentType="application/vnd.openxmlformats-officedocument.spreadsheetml.query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queryTables/queryTable243.xml" ContentType="application/vnd.openxmlformats-officedocument.spreadsheetml.queryTable+xml"/>
  <Override PartName="/xl/queryTables/queryTable244.xml" ContentType="application/vnd.openxmlformats-officedocument.spreadsheetml.queryTable+xml"/>
  <Override PartName="/xl/queryTables/queryTable245.xml" ContentType="application/vnd.openxmlformats-officedocument.spreadsheetml.queryTable+xml"/>
  <Override PartName="/xl/queryTables/queryTable246.xml" ContentType="application/vnd.openxmlformats-officedocument.spreadsheetml.queryTable+xml"/>
  <Override PartName="/xl/queryTables/queryTable247.xml" ContentType="application/vnd.openxmlformats-officedocument.spreadsheetml.queryTable+xml"/>
  <Override PartName="/xl/queryTables/queryTable248.xml" ContentType="application/vnd.openxmlformats-officedocument.spreadsheetml.queryTable+xml"/>
  <Override PartName="/xl/queryTables/queryTable249.xml" ContentType="application/vnd.openxmlformats-officedocument.spreadsheetml.queryTable+xml"/>
  <Override PartName="/xl/queryTables/queryTable250.xml" ContentType="application/vnd.openxmlformats-officedocument.spreadsheetml.queryTable+xml"/>
  <Override PartName="/xl/queryTables/queryTable251.xml" ContentType="application/vnd.openxmlformats-officedocument.spreadsheetml.queryTable+xml"/>
  <Override PartName="/xl/queryTables/queryTable252.xml" ContentType="application/vnd.openxmlformats-officedocument.spreadsheetml.queryTable+xml"/>
  <Override PartName="/xl/queryTables/queryTable253.xml" ContentType="application/vnd.openxmlformats-officedocument.spreadsheetml.queryTable+xml"/>
  <Override PartName="/xl/queryTables/queryTable254.xml" ContentType="application/vnd.openxmlformats-officedocument.spreadsheetml.queryTable+xml"/>
  <Override PartName="/xl/queryTables/queryTable255.xml" ContentType="application/vnd.openxmlformats-officedocument.spreadsheetml.queryTable+xml"/>
  <Override PartName="/xl/queryTables/queryTable256.xml" ContentType="application/vnd.openxmlformats-officedocument.spreadsheetml.queryTable+xml"/>
  <Override PartName="/xl/queryTables/queryTable257.xml" ContentType="application/vnd.openxmlformats-officedocument.spreadsheetml.queryTable+xml"/>
  <Override PartName="/xl/queryTables/queryTable258.xml" ContentType="application/vnd.openxmlformats-officedocument.spreadsheetml.queryTable+xml"/>
  <Override PartName="/xl/queryTables/queryTable259.xml" ContentType="application/vnd.openxmlformats-officedocument.spreadsheetml.queryTable+xml"/>
  <Override PartName="/xl/queryTables/queryTable260.xml" ContentType="application/vnd.openxmlformats-officedocument.spreadsheetml.queryTable+xml"/>
  <Override PartName="/xl/queryTables/queryTable261.xml" ContentType="application/vnd.openxmlformats-officedocument.spreadsheetml.queryTable+xml"/>
  <Override PartName="/xl/queryTables/queryTable262.xml" ContentType="application/vnd.openxmlformats-officedocument.spreadsheetml.queryTable+xml"/>
  <Override PartName="/xl/queryTables/queryTable263.xml" ContentType="application/vnd.openxmlformats-officedocument.spreadsheetml.queryTable+xml"/>
  <Override PartName="/xl/queryTables/queryTable264.xml" ContentType="application/vnd.openxmlformats-officedocument.spreadsheetml.queryTable+xml"/>
  <Override PartName="/xl/queryTables/queryTable265.xml" ContentType="application/vnd.openxmlformats-officedocument.spreadsheetml.queryTable+xml"/>
  <Override PartName="/xl/queryTables/queryTable266.xml" ContentType="application/vnd.openxmlformats-officedocument.spreadsheetml.queryTable+xml"/>
  <Override PartName="/xl/queryTables/queryTable267.xml" ContentType="application/vnd.openxmlformats-officedocument.spreadsheetml.queryTable+xml"/>
  <Override PartName="/xl/queryTables/queryTable268.xml" ContentType="application/vnd.openxmlformats-officedocument.spreadsheetml.queryTable+xml"/>
  <Override PartName="/xl/queryTables/queryTable269.xml" ContentType="application/vnd.openxmlformats-officedocument.spreadsheetml.queryTable+xml"/>
  <Override PartName="/xl/queryTables/queryTable270.xml" ContentType="application/vnd.openxmlformats-officedocument.spreadsheetml.queryTable+xml"/>
  <Override PartName="/xl/queryTables/queryTable271.xml" ContentType="application/vnd.openxmlformats-officedocument.spreadsheetml.queryTable+xml"/>
  <Override PartName="/xl/queryTables/queryTable272.xml" ContentType="application/vnd.openxmlformats-officedocument.spreadsheetml.queryTable+xml"/>
  <Override PartName="/xl/queryTables/queryTable273.xml" ContentType="application/vnd.openxmlformats-officedocument.spreadsheetml.queryTable+xml"/>
  <Override PartName="/xl/queryTables/queryTable274.xml" ContentType="application/vnd.openxmlformats-officedocument.spreadsheetml.queryTable+xml"/>
  <Override PartName="/xl/queryTables/queryTable275.xml" ContentType="application/vnd.openxmlformats-officedocument.spreadsheetml.queryTable+xml"/>
  <Override PartName="/xl/queryTables/queryTable276.xml" ContentType="application/vnd.openxmlformats-officedocument.spreadsheetml.queryTable+xml"/>
  <Override PartName="/xl/queryTables/queryTable277.xml" ContentType="application/vnd.openxmlformats-officedocument.spreadsheetml.queryTable+xml"/>
  <Override PartName="/xl/queryTables/queryTable278.xml" ContentType="application/vnd.openxmlformats-officedocument.spreadsheetml.queryTable+xml"/>
  <Override PartName="/xl/queryTables/queryTable279.xml" ContentType="application/vnd.openxmlformats-officedocument.spreadsheetml.queryTable+xml"/>
  <Override PartName="/xl/queryTables/queryTable280.xml" ContentType="application/vnd.openxmlformats-officedocument.spreadsheetml.queryTable+xml"/>
  <Override PartName="/xl/queryTables/queryTable281.xml" ContentType="application/vnd.openxmlformats-officedocument.spreadsheetml.queryTable+xml"/>
  <Override PartName="/xl/queryTables/queryTable282.xml" ContentType="application/vnd.openxmlformats-officedocument.spreadsheetml.queryTable+xml"/>
  <Override PartName="/xl/queryTables/queryTable283.xml" ContentType="application/vnd.openxmlformats-officedocument.spreadsheetml.queryTable+xml"/>
  <Override PartName="/xl/queryTables/queryTable284.xml" ContentType="application/vnd.openxmlformats-officedocument.spreadsheetml.queryTable+xml"/>
  <Override PartName="/xl/queryTables/queryTable285.xml" ContentType="application/vnd.openxmlformats-officedocument.spreadsheetml.queryTable+xml"/>
  <Override PartName="/xl/queryTables/queryTable286.xml" ContentType="application/vnd.openxmlformats-officedocument.spreadsheetml.queryTable+xml"/>
  <Override PartName="/xl/queryTables/queryTable287.xml" ContentType="application/vnd.openxmlformats-officedocument.spreadsheetml.queryTable+xml"/>
  <Override PartName="/xl/queryTables/queryTable288.xml" ContentType="application/vnd.openxmlformats-officedocument.spreadsheetml.queryTable+xml"/>
  <Override PartName="/xl/queryTables/queryTable289.xml" ContentType="application/vnd.openxmlformats-officedocument.spreadsheetml.queryTable+xml"/>
  <Override PartName="/xl/queryTables/queryTable290.xml" ContentType="application/vnd.openxmlformats-officedocument.spreadsheetml.queryTable+xml"/>
  <Override PartName="/xl/queryTables/queryTable291.xml" ContentType="application/vnd.openxmlformats-officedocument.spreadsheetml.queryTable+xml"/>
  <Override PartName="/xl/queryTables/queryTable292.xml" ContentType="application/vnd.openxmlformats-officedocument.spreadsheetml.queryTable+xml"/>
  <Override PartName="/xl/queryTables/queryTable293.xml" ContentType="application/vnd.openxmlformats-officedocument.spreadsheetml.queryTable+xml"/>
  <Override PartName="/xl/queryTables/queryTable294.xml" ContentType="application/vnd.openxmlformats-officedocument.spreadsheetml.queryTable+xml"/>
  <Override PartName="/xl/queryTables/queryTable295.xml" ContentType="application/vnd.openxmlformats-officedocument.spreadsheetml.queryTable+xml"/>
  <Override PartName="/xl/queryTables/queryTable296.xml" ContentType="application/vnd.openxmlformats-officedocument.spreadsheetml.queryTable+xml"/>
  <Override PartName="/xl/queryTables/queryTable297.xml" ContentType="application/vnd.openxmlformats-officedocument.spreadsheetml.queryTable+xml"/>
  <Override PartName="/xl/queryTables/queryTable298.xml" ContentType="application/vnd.openxmlformats-officedocument.spreadsheetml.queryTable+xml"/>
  <Override PartName="/xl/queryTables/queryTable299.xml" ContentType="application/vnd.openxmlformats-officedocument.spreadsheetml.queryTable+xml"/>
  <Override PartName="/xl/queryTables/queryTable300.xml" ContentType="application/vnd.openxmlformats-officedocument.spreadsheetml.queryTable+xml"/>
  <Override PartName="/xl/queryTables/queryTable301.xml" ContentType="application/vnd.openxmlformats-officedocument.spreadsheetml.queryTable+xml"/>
  <Override PartName="/xl/queryTables/queryTable302.xml" ContentType="application/vnd.openxmlformats-officedocument.spreadsheetml.queryTable+xml"/>
  <Override PartName="/xl/queryTables/queryTable303.xml" ContentType="application/vnd.openxmlformats-officedocument.spreadsheetml.queryTable+xml"/>
  <Override PartName="/xl/queryTables/queryTable304.xml" ContentType="application/vnd.openxmlformats-officedocument.spreadsheetml.queryTable+xml"/>
  <Override PartName="/xl/queryTables/queryTable305.xml" ContentType="application/vnd.openxmlformats-officedocument.spreadsheetml.queryTable+xml"/>
  <Override PartName="/xl/queryTables/queryTable306.xml" ContentType="application/vnd.openxmlformats-officedocument.spreadsheetml.queryTable+xml"/>
  <Override PartName="/xl/queryTables/queryTable307.xml" ContentType="application/vnd.openxmlformats-officedocument.spreadsheetml.queryTable+xml"/>
  <Override PartName="/xl/queryTables/queryTable308.xml" ContentType="application/vnd.openxmlformats-officedocument.spreadsheetml.queryTable+xml"/>
  <Override PartName="/xl/queryTables/queryTable309.xml" ContentType="application/vnd.openxmlformats-officedocument.spreadsheetml.queryTable+xml"/>
  <Override PartName="/xl/queryTables/queryTable310.xml" ContentType="application/vnd.openxmlformats-officedocument.spreadsheetml.queryTable+xml"/>
  <Override PartName="/xl/queryTables/queryTable311.xml" ContentType="application/vnd.openxmlformats-officedocument.spreadsheetml.queryTable+xml"/>
  <Override PartName="/xl/queryTables/queryTable312.xml" ContentType="application/vnd.openxmlformats-officedocument.spreadsheetml.queryTable+xml"/>
  <Override PartName="/xl/queryTables/queryTable313.xml" ContentType="application/vnd.openxmlformats-officedocument.spreadsheetml.queryTable+xml"/>
  <Override PartName="/xl/queryTables/queryTable314.xml" ContentType="application/vnd.openxmlformats-officedocument.spreadsheetml.queryTable+xml"/>
  <Override PartName="/xl/queryTables/queryTable315.xml" ContentType="application/vnd.openxmlformats-officedocument.spreadsheetml.queryTable+xml"/>
  <Override PartName="/xl/queryTables/queryTable316.xml" ContentType="application/vnd.openxmlformats-officedocument.spreadsheetml.queryTable+xml"/>
  <Override PartName="/xl/queryTables/queryTable317.xml" ContentType="application/vnd.openxmlformats-officedocument.spreadsheetml.queryTable+xml"/>
  <Override PartName="/xl/queryTables/queryTable318.xml" ContentType="application/vnd.openxmlformats-officedocument.spreadsheetml.queryTable+xml"/>
  <Override PartName="/xl/queryTables/queryTable319.xml" ContentType="application/vnd.openxmlformats-officedocument.spreadsheetml.queryTable+xml"/>
  <Override PartName="/xl/queryTables/queryTable320.xml" ContentType="application/vnd.openxmlformats-officedocument.spreadsheetml.queryTable+xml"/>
  <Override PartName="/xl/queryTables/queryTable321.xml" ContentType="application/vnd.openxmlformats-officedocument.spreadsheetml.queryTable+xml"/>
  <Override PartName="/xl/queryTables/queryTable322.xml" ContentType="application/vnd.openxmlformats-officedocument.spreadsheetml.queryTable+xml"/>
  <Override PartName="/xl/queryTables/queryTable323.xml" ContentType="application/vnd.openxmlformats-officedocument.spreadsheetml.queryTable+xml"/>
  <Override PartName="/xl/queryTables/queryTable324.xml" ContentType="application/vnd.openxmlformats-officedocument.spreadsheetml.queryTable+xml"/>
  <Override PartName="/xl/queryTables/queryTable325.xml" ContentType="application/vnd.openxmlformats-officedocument.spreadsheetml.queryTable+xml"/>
  <Override PartName="/xl/queryTables/queryTable326.xml" ContentType="application/vnd.openxmlformats-officedocument.spreadsheetml.queryTable+xml"/>
  <Override PartName="/xl/queryTables/queryTable327.xml" ContentType="application/vnd.openxmlformats-officedocument.spreadsheetml.queryTable+xml"/>
  <Override PartName="/xl/queryTables/queryTable328.xml" ContentType="application/vnd.openxmlformats-officedocument.spreadsheetml.queryTable+xml"/>
  <Override PartName="/xl/queryTables/queryTable329.xml" ContentType="application/vnd.openxmlformats-officedocument.spreadsheetml.queryTable+xml"/>
  <Override PartName="/xl/queryTables/queryTable330.xml" ContentType="application/vnd.openxmlformats-officedocument.spreadsheetml.queryTable+xml"/>
  <Override PartName="/xl/queryTables/queryTable331.xml" ContentType="application/vnd.openxmlformats-officedocument.spreadsheetml.queryTable+xml"/>
  <Override PartName="/xl/queryTables/queryTable332.xml" ContentType="application/vnd.openxmlformats-officedocument.spreadsheetml.queryTable+xml"/>
  <Override PartName="/xl/queryTables/queryTable333.xml" ContentType="application/vnd.openxmlformats-officedocument.spreadsheetml.queryTable+xml"/>
  <Override PartName="/xl/queryTables/queryTable334.xml" ContentType="application/vnd.openxmlformats-officedocument.spreadsheetml.queryTable+xml"/>
  <Override PartName="/xl/queryTables/queryTable335.xml" ContentType="application/vnd.openxmlformats-officedocument.spreadsheetml.queryTable+xml"/>
  <Override PartName="/xl/queryTables/queryTable336.xml" ContentType="application/vnd.openxmlformats-officedocument.spreadsheetml.queryTable+xml"/>
  <Override PartName="/xl/queryTables/queryTable337.xml" ContentType="application/vnd.openxmlformats-officedocument.spreadsheetml.queryTable+xml"/>
  <Override PartName="/xl/queryTables/queryTable338.xml" ContentType="application/vnd.openxmlformats-officedocument.spreadsheetml.queryTable+xml"/>
  <Override PartName="/xl/queryTables/queryTable339.xml" ContentType="application/vnd.openxmlformats-officedocument.spreadsheetml.queryTable+xml"/>
  <Override PartName="/xl/queryTables/queryTable340.xml" ContentType="application/vnd.openxmlformats-officedocument.spreadsheetml.queryTable+xml"/>
  <Override PartName="/xl/queryTables/queryTable341.xml" ContentType="application/vnd.openxmlformats-officedocument.spreadsheetml.queryTable+xml"/>
  <Override PartName="/xl/queryTables/queryTable342.xml" ContentType="application/vnd.openxmlformats-officedocument.spreadsheetml.queryTable+xml"/>
  <Override PartName="/xl/queryTables/queryTable343.xml" ContentType="application/vnd.openxmlformats-officedocument.spreadsheetml.queryTable+xml"/>
  <Override PartName="/xl/queryTables/queryTable344.xml" ContentType="application/vnd.openxmlformats-officedocument.spreadsheetml.queryTable+xml"/>
  <Override PartName="/xl/queryTables/queryTable345.xml" ContentType="application/vnd.openxmlformats-officedocument.spreadsheetml.queryTable+xml"/>
  <Override PartName="/xl/queryTables/queryTable346.xml" ContentType="application/vnd.openxmlformats-officedocument.spreadsheetml.queryTable+xml"/>
  <Override PartName="/xl/queryTables/queryTable347.xml" ContentType="application/vnd.openxmlformats-officedocument.spreadsheetml.queryTable+xml"/>
  <Override PartName="/xl/queryTables/queryTable348.xml" ContentType="application/vnd.openxmlformats-officedocument.spreadsheetml.queryTable+xml"/>
  <Override PartName="/xl/queryTables/queryTable349.xml" ContentType="application/vnd.openxmlformats-officedocument.spreadsheetml.queryTable+xml"/>
  <Override PartName="/xl/queryTables/queryTable350.xml" ContentType="application/vnd.openxmlformats-officedocument.spreadsheetml.queryTable+xml"/>
  <Override PartName="/xl/queryTables/queryTable351.xml" ContentType="application/vnd.openxmlformats-officedocument.spreadsheetml.queryTable+xml"/>
  <Override PartName="/xl/queryTables/queryTable352.xml" ContentType="application/vnd.openxmlformats-officedocument.spreadsheetml.queryTable+xml"/>
  <Override PartName="/xl/queryTables/queryTable353.xml" ContentType="application/vnd.openxmlformats-officedocument.spreadsheetml.queryTable+xml"/>
  <Override PartName="/xl/queryTables/queryTable354.xml" ContentType="application/vnd.openxmlformats-officedocument.spreadsheetml.queryTable+xml"/>
  <Override PartName="/xl/queryTables/queryTable355.xml" ContentType="application/vnd.openxmlformats-officedocument.spreadsheetml.queryTable+xml"/>
  <Override PartName="/xl/queryTables/queryTable356.xml" ContentType="application/vnd.openxmlformats-officedocument.spreadsheetml.queryTable+xml"/>
  <Override PartName="/xl/queryTables/queryTable357.xml" ContentType="application/vnd.openxmlformats-officedocument.spreadsheetml.queryTable+xml"/>
  <Override PartName="/xl/queryTables/queryTable358.xml" ContentType="application/vnd.openxmlformats-officedocument.spreadsheetml.queryTable+xml"/>
  <Override PartName="/xl/queryTables/queryTable359.xml" ContentType="application/vnd.openxmlformats-officedocument.spreadsheetml.queryTable+xml"/>
  <Override PartName="/xl/queryTables/queryTable360.xml" ContentType="application/vnd.openxmlformats-officedocument.spreadsheetml.queryTable+xml"/>
  <Override PartName="/xl/queryTables/queryTable361.xml" ContentType="application/vnd.openxmlformats-officedocument.spreadsheetml.queryTable+xml"/>
  <Override PartName="/xl/queryTables/queryTable362.xml" ContentType="application/vnd.openxmlformats-officedocument.spreadsheetml.queryTable+xml"/>
  <Override PartName="/xl/queryTables/queryTable363.xml" ContentType="application/vnd.openxmlformats-officedocument.spreadsheetml.queryTable+xml"/>
  <Override PartName="/xl/queryTables/queryTable364.xml" ContentType="application/vnd.openxmlformats-officedocument.spreadsheetml.queryTable+xml"/>
  <Override PartName="/xl/queryTables/queryTable365.xml" ContentType="application/vnd.openxmlformats-officedocument.spreadsheetml.queryTable+xml"/>
  <Override PartName="/xl/queryTables/queryTable366.xml" ContentType="application/vnd.openxmlformats-officedocument.spreadsheetml.queryTable+xml"/>
  <Override PartName="/xl/queryTables/queryTable367.xml" ContentType="application/vnd.openxmlformats-officedocument.spreadsheetml.queryTable+xml"/>
  <Override PartName="/xl/queryTables/queryTable368.xml" ContentType="application/vnd.openxmlformats-officedocument.spreadsheetml.queryTable+xml"/>
  <Override PartName="/xl/queryTables/queryTable369.xml" ContentType="application/vnd.openxmlformats-officedocument.spreadsheetml.queryTable+xml"/>
  <Override PartName="/xl/queryTables/queryTable370.xml" ContentType="application/vnd.openxmlformats-officedocument.spreadsheetml.queryTable+xml"/>
  <Override PartName="/xl/queryTables/queryTable371.xml" ContentType="application/vnd.openxmlformats-officedocument.spreadsheetml.queryTable+xml"/>
  <Override PartName="/xl/queryTables/queryTable372.xml" ContentType="application/vnd.openxmlformats-officedocument.spreadsheetml.queryTable+xml"/>
  <Override PartName="/xl/queryTables/queryTable373.xml" ContentType="application/vnd.openxmlformats-officedocument.spreadsheetml.queryTable+xml"/>
  <Override PartName="/xl/queryTables/queryTable374.xml" ContentType="application/vnd.openxmlformats-officedocument.spreadsheetml.queryTable+xml"/>
  <Override PartName="/xl/queryTables/queryTable375.xml" ContentType="application/vnd.openxmlformats-officedocument.spreadsheetml.queryTable+xml"/>
  <Override PartName="/xl/queryTables/queryTable376.xml" ContentType="application/vnd.openxmlformats-officedocument.spreadsheetml.queryTable+xml"/>
  <Override PartName="/xl/queryTables/queryTable377.xml" ContentType="application/vnd.openxmlformats-officedocument.spreadsheetml.queryTable+xml"/>
  <Override PartName="/xl/queryTables/queryTable378.xml" ContentType="application/vnd.openxmlformats-officedocument.spreadsheetml.queryTable+xml"/>
  <Override PartName="/xl/queryTables/queryTable379.xml" ContentType="application/vnd.openxmlformats-officedocument.spreadsheetml.queryTable+xml"/>
  <Override PartName="/xl/queryTables/queryTable380.xml" ContentType="application/vnd.openxmlformats-officedocument.spreadsheetml.queryTable+xml"/>
  <Override PartName="/xl/queryTables/queryTable381.xml" ContentType="application/vnd.openxmlformats-officedocument.spreadsheetml.queryTable+xml"/>
  <Override PartName="/xl/queryTables/queryTable382.xml" ContentType="application/vnd.openxmlformats-officedocument.spreadsheetml.queryTable+xml"/>
  <Override PartName="/xl/queryTables/queryTable383.xml" ContentType="application/vnd.openxmlformats-officedocument.spreadsheetml.queryTable+xml"/>
  <Override PartName="/xl/queryTables/queryTable384.xml" ContentType="application/vnd.openxmlformats-officedocument.spreadsheetml.queryTable+xml"/>
  <Override PartName="/xl/queryTables/queryTable385.xml" ContentType="application/vnd.openxmlformats-officedocument.spreadsheetml.queryTable+xml"/>
  <Override PartName="/xl/queryTables/queryTable386.xml" ContentType="application/vnd.openxmlformats-officedocument.spreadsheetml.queryTable+xml"/>
  <Override PartName="/xl/queryTables/queryTable387.xml" ContentType="application/vnd.openxmlformats-officedocument.spreadsheetml.queryTable+xml"/>
  <Override PartName="/xl/queryTables/queryTable388.xml" ContentType="application/vnd.openxmlformats-officedocument.spreadsheetml.queryTable+xml"/>
  <Override PartName="/xl/queryTables/queryTable389.xml" ContentType="application/vnd.openxmlformats-officedocument.spreadsheetml.queryTable+xml"/>
  <Override PartName="/xl/queryTables/queryTable390.xml" ContentType="application/vnd.openxmlformats-officedocument.spreadsheetml.queryTable+xml"/>
  <Override PartName="/xl/queryTables/queryTable391.xml" ContentType="application/vnd.openxmlformats-officedocument.spreadsheetml.queryTable+xml"/>
  <Override PartName="/xl/queryTables/queryTable392.xml" ContentType="application/vnd.openxmlformats-officedocument.spreadsheetml.queryTable+xml"/>
  <Override PartName="/xl/queryTables/queryTable393.xml" ContentType="application/vnd.openxmlformats-officedocument.spreadsheetml.queryTable+xml"/>
  <Override PartName="/xl/queryTables/queryTable394.xml" ContentType="application/vnd.openxmlformats-officedocument.spreadsheetml.queryTable+xml"/>
  <Override PartName="/xl/queryTables/queryTable395.xml" ContentType="application/vnd.openxmlformats-officedocument.spreadsheetml.queryTable+xml"/>
  <Override PartName="/xl/queryTables/queryTable396.xml" ContentType="application/vnd.openxmlformats-officedocument.spreadsheetml.queryTable+xml"/>
  <Override PartName="/xl/queryTables/queryTable397.xml" ContentType="application/vnd.openxmlformats-officedocument.spreadsheetml.queryTable+xml"/>
  <Override PartName="/xl/queryTables/queryTable398.xml" ContentType="application/vnd.openxmlformats-officedocument.spreadsheetml.queryTable+xml"/>
  <Override PartName="/xl/queryTables/queryTable399.xml" ContentType="application/vnd.openxmlformats-officedocument.spreadsheetml.queryTable+xml"/>
  <Override PartName="/xl/queryTables/queryTable400.xml" ContentType="application/vnd.openxmlformats-officedocument.spreadsheetml.queryTable+xml"/>
  <Override PartName="/xl/queryTables/queryTable401.xml" ContentType="application/vnd.openxmlformats-officedocument.spreadsheetml.queryTable+xml"/>
  <Override PartName="/xl/queryTables/queryTable402.xml" ContentType="application/vnd.openxmlformats-officedocument.spreadsheetml.queryTable+xml"/>
  <Override PartName="/xl/queryTables/queryTable403.xml" ContentType="application/vnd.openxmlformats-officedocument.spreadsheetml.queryTable+xml"/>
  <Override PartName="/xl/queryTables/queryTable404.xml" ContentType="application/vnd.openxmlformats-officedocument.spreadsheetml.queryTable+xml"/>
  <Override PartName="/xl/queryTables/queryTable405.xml" ContentType="application/vnd.openxmlformats-officedocument.spreadsheetml.queryTable+xml"/>
  <Override PartName="/xl/queryTables/queryTable406.xml" ContentType="application/vnd.openxmlformats-officedocument.spreadsheetml.queryTable+xml"/>
  <Override PartName="/xl/queryTables/queryTable407.xml" ContentType="application/vnd.openxmlformats-officedocument.spreadsheetml.queryTable+xml"/>
  <Override PartName="/xl/queryTables/queryTable408.xml" ContentType="application/vnd.openxmlformats-officedocument.spreadsheetml.queryTable+xml"/>
  <Override PartName="/xl/queryTables/queryTable409.xml" ContentType="application/vnd.openxmlformats-officedocument.spreadsheetml.queryTable+xml"/>
  <Override PartName="/xl/queryTables/queryTable410.xml" ContentType="application/vnd.openxmlformats-officedocument.spreadsheetml.queryTable+xml"/>
  <Override PartName="/xl/queryTables/queryTable411.xml" ContentType="application/vnd.openxmlformats-officedocument.spreadsheetml.queryTable+xml"/>
  <Override PartName="/xl/queryTables/queryTable412.xml" ContentType="application/vnd.openxmlformats-officedocument.spreadsheetml.queryTable+xml"/>
  <Override PartName="/xl/queryTables/queryTable413.xml" ContentType="application/vnd.openxmlformats-officedocument.spreadsheetml.queryTable+xml"/>
  <Override PartName="/xl/queryTables/queryTable414.xml" ContentType="application/vnd.openxmlformats-officedocument.spreadsheetml.queryTable+xml"/>
  <Override PartName="/xl/queryTables/queryTable415.xml" ContentType="application/vnd.openxmlformats-officedocument.spreadsheetml.queryTable+xml"/>
  <Override PartName="/xl/queryTables/queryTable416.xml" ContentType="application/vnd.openxmlformats-officedocument.spreadsheetml.queryTable+xml"/>
  <Override PartName="/xl/queryTables/queryTable417.xml" ContentType="application/vnd.openxmlformats-officedocument.spreadsheetml.queryTable+xml"/>
  <Override PartName="/xl/queryTables/queryTable418.xml" ContentType="application/vnd.openxmlformats-officedocument.spreadsheetml.queryTable+xml"/>
  <Override PartName="/xl/queryTables/queryTable419.xml" ContentType="application/vnd.openxmlformats-officedocument.spreadsheetml.queryTable+xml"/>
  <Override PartName="/xl/queryTables/queryTable420.xml" ContentType="application/vnd.openxmlformats-officedocument.spreadsheetml.queryTable+xml"/>
  <Override PartName="/xl/queryTables/queryTable421.xml" ContentType="application/vnd.openxmlformats-officedocument.spreadsheetml.queryTable+xml"/>
  <Override PartName="/xl/queryTables/queryTable422.xml" ContentType="application/vnd.openxmlformats-officedocument.spreadsheetml.queryTable+xml"/>
  <Override PartName="/xl/queryTables/queryTable423.xml" ContentType="application/vnd.openxmlformats-officedocument.spreadsheetml.queryTable+xml"/>
  <Override PartName="/xl/queryTables/queryTable424.xml" ContentType="application/vnd.openxmlformats-officedocument.spreadsheetml.queryTable+xml"/>
  <Override PartName="/xl/queryTables/queryTable425.xml" ContentType="application/vnd.openxmlformats-officedocument.spreadsheetml.queryTable+xml"/>
  <Override PartName="/xl/queryTables/queryTable426.xml" ContentType="application/vnd.openxmlformats-officedocument.spreadsheetml.queryTable+xml"/>
  <Override PartName="/xl/queryTables/queryTable427.xml" ContentType="application/vnd.openxmlformats-officedocument.spreadsheetml.queryTable+xml"/>
  <Override PartName="/xl/queryTables/queryTable428.xml" ContentType="application/vnd.openxmlformats-officedocument.spreadsheetml.queryTable+xml"/>
  <Override PartName="/xl/queryTables/queryTable429.xml" ContentType="application/vnd.openxmlformats-officedocument.spreadsheetml.queryTable+xml"/>
  <Override PartName="/xl/queryTables/queryTable430.xml" ContentType="application/vnd.openxmlformats-officedocument.spreadsheetml.queryTable+xml"/>
  <Override PartName="/xl/queryTables/queryTable431.xml" ContentType="application/vnd.openxmlformats-officedocument.spreadsheetml.queryTable+xml"/>
  <Override PartName="/xl/queryTables/queryTable432.xml" ContentType="application/vnd.openxmlformats-officedocument.spreadsheetml.queryTable+xml"/>
  <Override PartName="/xl/queryTables/queryTable433.xml" ContentType="application/vnd.openxmlformats-officedocument.spreadsheetml.queryTable+xml"/>
  <Override PartName="/xl/queryTables/queryTable434.xml" ContentType="application/vnd.openxmlformats-officedocument.spreadsheetml.queryTable+xml"/>
  <Override PartName="/xl/queryTables/queryTable435.xml" ContentType="application/vnd.openxmlformats-officedocument.spreadsheetml.queryTable+xml"/>
  <Override PartName="/xl/queryTables/queryTable436.xml" ContentType="application/vnd.openxmlformats-officedocument.spreadsheetml.queryTable+xml"/>
  <Override PartName="/xl/queryTables/queryTable437.xml" ContentType="application/vnd.openxmlformats-officedocument.spreadsheetml.queryTable+xml"/>
  <Override PartName="/xl/queryTables/queryTable438.xml" ContentType="application/vnd.openxmlformats-officedocument.spreadsheetml.queryTable+xml"/>
  <Override PartName="/xl/queryTables/queryTable439.xml" ContentType="application/vnd.openxmlformats-officedocument.spreadsheetml.queryTable+xml"/>
  <Override PartName="/xl/queryTables/queryTable440.xml" ContentType="application/vnd.openxmlformats-officedocument.spreadsheetml.queryTable+xml"/>
  <Override PartName="/xl/queryTables/queryTable441.xml" ContentType="application/vnd.openxmlformats-officedocument.spreadsheetml.queryTable+xml"/>
  <Override PartName="/xl/queryTables/queryTable442.xml" ContentType="application/vnd.openxmlformats-officedocument.spreadsheetml.queryTable+xml"/>
  <Override PartName="/xl/queryTables/queryTable443.xml" ContentType="application/vnd.openxmlformats-officedocument.spreadsheetml.queryTable+xml"/>
  <Override PartName="/xl/queryTables/queryTable444.xml" ContentType="application/vnd.openxmlformats-officedocument.spreadsheetml.queryTable+xml"/>
  <Override PartName="/xl/queryTables/queryTable445.xml" ContentType="application/vnd.openxmlformats-officedocument.spreadsheetml.queryTable+xml"/>
  <Override PartName="/xl/queryTables/queryTable446.xml" ContentType="application/vnd.openxmlformats-officedocument.spreadsheetml.queryTable+xml"/>
  <Override PartName="/xl/queryTables/queryTable447.xml" ContentType="application/vnd.openxmlformats-officedocument.spreadsheetml.queryTable+xml"/>
  <Override PartName="/xl/queryTables/queryTable448.xml" ContentType="application/vnd.openxmlformats-officedocument.spreadsheetml.queryTable+xml"/>
  <Override PartName="/xl/queryTables/queryTable449.xml" ContentType="application/vnd.openxmlformats-officedocument.spreadsheetml.queryTable+xml"/>
  <Override PartName="/xl/queryTables/queryTable450.xml" ContentType="application/vnd.openxmlformats-officedocument.spreadsheetml.queryTable+xml"/>
  <Override PartName="/xl/queryTables/queryTable451.xml" ContentType="application/vnd.openxmlformats-officedocument.spreadsheetml.queryTable+xml"/>
  <Override PartName="/xl/queryTables/queryTable452.xml" ContentType="application/vnd.openxmlformats-officedocument.spreadsheetml.queryTable+xml"/>
  <Override PartName="/xl/queryTables/queryTable453.xml" ContentType="application/vnd.openxmlformats-officedocument.spreadsheetml.queryTable+xml"/>
  <Override PartName="/xl/queryTables/queryTable454.xml" ContentType="application/vnd.openxmlformats-officedocument.spreadsheetml.queryTable+xml"/>
  <Override PartName="/xl/queryTables/queryTable455.xml" ContentType="application/vnd.openxmlformats-officedocument.spreadsheetml.queryTable+xml"/>
  <Override PartName="/xl/queryTables/queryTable456.xml" ContentType="application/vnd.openxmlformats-officedocument.spreadsheetml.queryTable+xml"/>
  <Override PartName="/xl/queryTables/queryTable457.xml" ContentType="application/vnd.openxmlformats-officedocument.spreadsheetml.queryTable+xml"/>
  <Override PartName="/xl/queryTables/queryTable458.xml" ContentType="application/vnd.openxmlformats-officedocument.spreadsheetml.queryTable+xml"/>
  <Override PartName="/xl/queryTables/queryTable459.xml" ContentType="application/vnd.openxmlformats-officedocument.spreadsheetml.queryTable+xml"/>
  <Override PartName="/xl/queryTables/queryTable460.xml" ContentType="application/vnd.openxmlformats-officedocument.spreadsheetml.queryTable+xml"/>
  <Override PartName="/xl/queryTables/queryTable461.xml" ContentType="application/vnd.openxmlformats-officedocument.spreadsheetml.queryTable+xml"/>
  <Override PartName="/xl/queryTables/queryTable462.xml" ContentType="application/vnd.openxmlformats-officedocument.spreadsheetml.queryTable+xml"/>
  <Override PartName="/xl/queryTables/queryTable463.xml" ContentType="application/vnd.openxmlformats-officedocument.spreadsheetml.queryTable+xml"/>
  <Override PartName="/xl/queryTables/queryTable464.xml" ContentType="application/vnd.openxmlformats-officedocument.spreadsheetml.queryTable+xml"/>
  <Override PartName="/xl/queryTables/queryTable465.xml" ContentType="application/vnd.openxmlformats-officedocument.spreadsheetml.queryTable+xml"/>
  <Override PartName="/xl/queryTables/queryTable466.xml" ContentType="application/vnd.openxmlformats-officedocument.spreadsheetml.queryTable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us\Documents\Nathalie\FichierPC\Labo\Expérimentations\DetecteurChaleurs\Algorythme\Mistea\LaFage2023-IA-FGA+EM\"/>
    </mc:Choice>
  </mc:AlternateContent>
  <bookViews>
    <workbookView xWindow="0" yWindow="0" windowWidth="23040" windowHeight="8760"/>
  </bookViews>
  <sheets>
    <sheet name="Infos protocole" sheetId="2" r:id="rId1"/>
    <sheet name="Planning" sheetId="3" r:id="rId2"/>
    <sheet name="Correspondance Tags" sheetId="8" r:id="rId3"/>
    <sheet name="Data Activité Béliers" sheetId="5" r:id="rId4"/>
    <sheet name="Data Détecteur IA" sheetId="4" r:id="rId5"/>
    <sheet name="All Data EM La Fage 2023" sheetId="1" r:id="rId6"/>
  </sheets>
  <externalReferences>
    <externalReference r:id="rId7"/>
  </externalReferences>
  <definedNames>
    <definedName name="_1317755739475482419_13_07_24" localSheetId="3">'Data Activité Béliers'!$A$1:$I$78</definedName>
    <definedName name="_1317755739475482419_13_07_24" localSheetId="4">'Data Détecteur IA'!$A$1:$J$78</definedName>
    <definedName name="_1317755739475482419_13_07_25" localSheetId="3">'Data Activité Béliers'!$A$1:$I$78</definedName>
    <definedName name="_1317755739475482419_13_07_25" localSheetId="4">'Data Détecteur IA'!$A$1:$J$78</definedName>
    <definedName name="_1317755739475482419_13_07_26" localSheetId="4">'Data Détecteur IA'!$A$1:$J$78</definedName>
    <definedName name="_1317755739475482419_13_07_27" localSheetId="4">'Data Détecteur IA'!$A$1:$J$78</definedName>
    <definedName name="_16_06_100" localSheetId="3">'Data Activité Béliers'!$A$1:$L$308</definedName>
    <definedName name="_16_06_100" localSheetId="4">'Data Détecteur IA'!$A$1:$L$397</definedName>
    <definedName name="_16_06_101" localSheetId="3">'Data Activité Béliers'!$A$1:$L$130</definedName>
    <definedName name="_16_06_101" localSheetId="4">'Data Détecteur IA'!$A$1:$L$285</definedName>
    <definedName name="_16_06_102" localSheetId="3">'Data Activité Béliers'!$A$1:$L$130</definedName>
    <definedName name="_16_06_102" localSheetId="4">'Data Détecteur IA'!$A$1:$L$397</definedName>
    <definedName name="_16_06_103" localSheetId="3">'Data Activité Béliers'!$A$1:$L$130</definedName>
    <definedName name="_16_06_103" localSheetId="4">'Data Détecteur IA'!$A$1:$L$134</definedName>
    <definedName name="_16_06_104" localSheetId="3">'Data Activité Béliers'!$A$1:$L$308</definedName>
    <definedName name="_16_06_104" localSheetId="4">'Data Détecteur IA'!$A$1:$L$397</definedName>
    <definedName name="_16_06_105" localSheetId="3">'Data Activité Béliers'!$A$1:$L$130</definedName>
    <definedName name="_16_06_105" localSheetId="4">'Data Détecteur IA'!$A$1:$L$285</definedName>
    <definedName name="_16_06_106" localSheetId="3">'Data Activité Béliers'!$A$1:$L$420</definedName>
    <definedName name="_16_06_106" localSheetId="4">'Data Détecteur IA'!$A$1:$L$285</definedName>
    <definedName name="_16_06_107" localSheetId="3">'Data Activité Béliers'!$A$1:$L$130</definedName>
    <definedName name="_16_06_107" localSheetId="4">'Data Détecteur IA'!$A$1:$L$134</definedName>
    <definedName name="_16_06_108" localSheetId="3">'Data Activité Béliers'!$A$1:$L$130</definedName>
    <definedName name="_16_06_108" localSheetId="4">'Data Détecteur IA'!$A$1:$L$397</definedName>
    <definedName name="_16_06_109" localSheetId="3">'Data Activité Béliers'!$A$1:$L$130</definedName>
    <definedName name="_16_06_109" localSheetId="4">'Data Détecteur IA'!$A$1:$L$134</definedName>
    <definedName name="_16_06_110" localSheetId="3">'Data Activité Béliers'!$A$1:$L$130</definedName>
    <definedName name="_16_06_110" localSheetId="4">'Data Détecteur IA'!$A$1:$L$285</definedName>
    <definedName name="_16_06_111" localSheetId="3">'Data Activité Béliers'!$A$1:$L$130</definedName>
    <definedName name="_16_06_111" localSheetId="4">'Data Détecteur IA'!$A$1:$L$397</definedName>
    <definedName name="_16_06_112" localSheetId="3">'Data Activité Béliers'!$A$1:$L$308</definedName>
    <definedName name="_16_06_112" localSheetId="4">'Data Détecteur IA'!$A$1:$L$397</definedName>
    <definedName name="_16_06_113" localSheetId="3">'Data Activité Béliers'!$A$1:$L$420</definedName>
    <definedName name="_16_06_113" localSheetId="4">'Data Détecteur IA'!$A$1:$L$397</definedName>
    <definedName name="_16_06_114" localSheetId="3">'Data Activité Béliers'!$A$1:$L$420</definedName>
    <definedName name="_16_06_114" localSheetId="4">'Data Détecteur IA'!$A$1:$L$397</definedName>
    <definedName name="_16_06_115" localSheetId="3">'Data Activité Béliers'!$A$1:$L$420</definedName>
    <definedName name="_16_06_115" localSheetId="4">'Data Détecteur IA'!$A$1:$L$397</definedName>
    <definedName name="_16_06_116" localSheetId="3">'Data Activité Béliers'!$A$1:$L$130</definedName>
    <definedName name="_16_06_116" localSheetId="4">'Data Détecteur IA'!$A$1:$L$285</definedName>
    <definedName name="_16_06_117" localSheetId="3">'Data Activité Béliers'!$A$1:$L$308</definedName>
    <definedName name="_16_06_117" localSheetId="4">'Data Détecteur IA'!$A$1:$L$397</definedName>
    <definedName name="_16_06_118" localSheetId="3">'Data Activité Béliers'!$A$1:$L$414</definedName>
    <definedName name="_16_06_118" localSheetId="4">'Data Détecteur IA'!$A$1:$L$397</definedName>
    <definedName name="_16_06_119" localSheetId="3">'Data Activité Béliers'!$A$1:$L$308</definedName>
    <definedName name="_16_06_119" localSheetId="4">'Data Détecteur IA'!$A$1:$L$285</definedName>
    <definedName name="_16_06_120" localSheetId="3">'Data Activité Béliers'!$A$1:$L$308</definedName>
    <definedName name="_16_06_120" localSheetId="4">'Data Détecteur IA'!$A$1:$L$285</definedName>
    <definedName name="_16_06_121" localSheetId="3">'Data Activité Béliers'!$A$1:$L$130</definedName>
    <definedName name="_16_06_121" localSheetId="4">'Data Détecteur IA'!$A$1:$L$397</definedName>
    <definedName name="_16_06_122" localSheetId="3">'Data Activité Béliers'!$A$1:$L$308</definedName>
    <definedName name="_16_06_122" localSheetId="4">'Data Détecteur IA'!$A$1:$L$397</definedName>
    <definedName name="_16_06_123" localSheetId="3">'Data Activité Béliers'!$A$1:$L$130</definedName>
    <definedName name="_16_06_123" localSheetId="4">'Data Détecteur IA'!$A$1:$L$134</definedName>
    <definedName name="_16_06_124" localSheetId="3">'Data Activité Béliers'!$A$1:$L$420</definedName>
    <definedName name="_16_06_124" localSheetId="4">'Data Détecteur IA'!$A$1:$L$397</definedName>
    <definedName name="_16_06_125" localSheetId="3">'Data Activité Béliers'!$A$1:$L$420</definedName>
    <definedName name="_16_06_125" localSheetId="4">'Data Détecteur IA'!$A$1:$L$285</definedName>
    <definedName name="_16_06_126" localSheetId="3">'Data Activité Béliers'!$A$1:$L$420</definedName>
    <definedName name="_16_06_126" localSheetId="4">'Data Détecteur IA'!$A$1:$L$397</definedName>
    <definedName name="_16_06_127" localSheetId="3">'Data Activité Béliers'!$A$1:$L$308</definedName>
    <definedName name="_16_06_127" localSheetId="4">'Data Détecteur IA'!$A$1:$L$134</definedName>
    <definedName name="_16_06_128" localSheetId="3">'Data Activité Béliers'!$A$1:$L$420</definedName>
    <definedName name="_16_06_128" localSheetId="4">'Data Détecteur IA'!$A$1:$L$134</definedName>
    <definedName name="_16_06_129" localSheetId="3">'Data Activité Béliers'!$A$1:$L$130</definedName>
    <definedName name="_16_06_129" localSheetId="4">'Data Détecteur IA'!$A$1:$L$285</definedName>
    <definedName name="_16_06_130" localSheetId="3">'Data Activité Béliers'!$A$1:$L$420</definedName>
    <definedName name="_16_06_130" localSheetId="4">'Data Détecteur IA'!$A$1:$L$285</definedName>
    <definedName name="_16_06_131" localSheetId="3">'Data Activité Béliers'!$A$1:$L$308</definedName>
    <definedName name="_16_06_131" localSheetId="4">'Data Détecteur IA'!$A$1:$L$285</definedName>
    <definedName name="_16_06_132" localSheetId="3">'Data Activité Béliers'!$A$1:$L$308</definedName>
    <definedName name="_16_06_132" localSheetId="4">'Data Détecteur IA'!$A$1:$L$397</definedName>
    <definedName name="_16_06_133" localSheetId="3">'Data Activité Béliers'!$A$1:$L$308</definedName>
    <definedName name="_16_06_133" localSheetId="4">'Data Détecteur IA'!$A$1:$L$397</definedName>
    <definedName name="_16_06_134" localSheetId="3">'Data Activité Béliers'!$A$1:$L$308</definedName>
    <definedName name="_16_06_134" localSheetId="4">'Data Détecteur IA'!$A$1:$L$285</definedName>
    <definedName name="_16_06_135" localSheetId="3">'Data Activité Béliers'!$A$1:$L$130</definedName>
    <definedName name="_16_06_135" localSheetId="4">'Data Détecteur IA'!$A$1:$L$134</definedName>
    <definedName name="_16_06_136" localSheetId="3">'Data Activité Béliers'!$A$1:$L$130</definedName>
    <definedName name="_16_06_136" localSheetId="4">'Data Détecteur IA'!$A$1:$L$285</definedName>
    <definedName name="_16_06_137" localSheetId="3">'Data Activité Béliers'!$A$1:$L$420</definedName>
    <definedName name="_16_06_137" localSheetId="4">'Data Détecteur IA'!$A$1:$L$397</definedName>
    <definedName name="_16_06_138" localSheetId="3">'Data Activité Béliers'!$A$1:$L$130</definedName>
    <definedName name="_16_06_138" localSheetId="4">'Data Détecteur IA'!$A$1:$L$397</definedName>
    <definedName name="_16_06_139" localSheetId="3">'Data Activité Béliers'!$A$1:$L$308</definedName>
    <definedName name="_16_06_139" localSheetId="4">'Data Détecteur IA'!$A$1:$L$397</definedName>
    <definedName name="_16_06_140" localSheetId="3">'Data Activité Béliers'!$A$1:$L$420</definedName>
    <definedName name="_16_06_140" localSheetId="4">'Data Détecteur IA'!$A$1:$L$134</definedName>
    <definedName name="_16_06_141" localSheetId="3">'Data Activité Béliers'!$A$1:$L$308</definedName>
    <definedName name="_16_06_141" localSheetId="4">'Data Détecteur IA'!$A$1:$L$285</definedName>
    <definedName name="_16_06_142" localSheetId="3">'Data Activité Béliers'!$A$1:$L$420</definedName>
    <definedName name="_16_06_142" localSheetId="4">'Data Détecteur IA'!$A$1:$L$391</definedName>
    <definedName name="_16_06_143" localSheetId="3">'Data Activité Béliers'!$A$1:$L$420</definedName>
    <definedName name="_16_06_143" localSheetId="4">'Data Détecteur IA'!$A$1:$L$285</definedName>
    <definedName name="_16_06_144" localSheetId="3">'Data Activité Béliers'!$A$1:$L$130</definedName>
    <definedName name="_16_06_144" localSheetId="4">'Data Détecteur IA'!$A$1:$L$285</definedName>
    <definedName name="_16_06_145" localSheetId="3">'Data Activité Béliers'!$A$1:$L$420</definedName>
    <definedName name="_16_06_145" localSheetId="4">'Data Détecteur IA'!$A$1:$L$134</definedName>
    <definedName name="_16_06_146" localSheetId="3">'Data Activité Béliers'!$A$1:$L$420</definedName>
    <definedName name="_16_06_146" localSheetId="4">'Data Détecteur IA'!$A$1:$L$285</definedName>
    <definedName name="_16_06_147" localSheetId="3">'Data Activité Béliers'!$A$1:$L$420</definedName>
    <definedName name="_16_06_147" localSheetId="4">'Data Détecteur IA'!$A$1:$L$134</definedName>
    <definedName name="_16_06_148" localSheetId="3">'Data Activité Béliers'!$A$1:$L$420</definedName>
    <definedName name="_16_06_148" localSheetId="4">'Data Détecteur IA'!$A$1:$L$397</definedName>
    <definedName name="_16_06_149" localSheetId="3">'Data Activité Béliers'!$A$1:$L$420</definedName>
    <definedName name="_16_06_149" localSheetId="4">'Data Détecteur IA'!$A$1:$L$397</definedName>
    <definedName name="_16_06_150" localSheetId="3">'Data Activité Béliers'!$A$1:$L$308</definedName>
    <definedName name="_16_06_150" localSheetId="4">'Data Détecteur IA'!$A$1:$L$397</definedName>
    <definedName name="_16_06_151" localSheetId="3">'Data Activité Béliers'!$A$1:$L$420</definedName>
    <definedName name="_16_06_151" localSheetId="4">'Data Détecteur IA'!$A$1:$L$285</definedName>
    <definedName name="_16_06_152" localSheetId="3">'Data Activité Béliers'!$A$1:$L$420</definedName>
    <definedName name="_16_06_152" localSheetId="4">'Data Détecteur IA'!$A$1:$L$397</definedName>
    <definedName name="_16_06_153" localSheetId="3">'Data Activité Béliers'!$A$1:$L$308</definedName>
    <definedName name="_16_06_153" localSheetId="4">'Data Détecteur IA'!$A$1:$L$134</definedName>
    <definedName name="_16_06_154" localSheetId="3">'Data Activité Béliers'!$A$1:$L$308</definedName>
    <definedName name="_16_06_154" localSheetId="4">'Data Détecteur IA'!$A$1:$L$397</definedName>
    <definedName name="_16_06_155" localSheetId="3">'Data Activité Béliers'!$A$1:$L$414</definedName>
    <definedName name="_16_06_155" localSheetId="4">'Data Détecteur IA'!$A$1:$L$285</definedName>
    <definedName name="_16_06_156" localSheetId="3">'Data Activité Béliers'!$A$1:$L$420</definedName>
    <definedName name="_16_06_156" localSheetId="4">'Data Détecteur IA'!$A$1:$L$285</definedName>
    <definedName name="_16_06_157" localSheetId="3">'Data Activité Béliers'!$A$1:$L$420</definedName>
    <definedName name="_16_06_157" localSheetId="4">'Data Détecteur IA'!$A$1:$L$285</definedName>
    <definedName name="_16_06_158" localSheetId="3">'Data Activité Béliers'!$A$1:$L$130</definedName>
    <definedName name="_16_06_158" localSheetId="4">'Data Détecteur IA'!$A$1:$L$285</definedName>
    <definedName name="_16_06_159" localSheetId="3">'Data Activité Béliers'!$A$1:$L$308</definedName>
    <definedName name="_16_06_159" localSheetId="4">'Data Détecteur IA'!$A$1:$L$134</definedName>
    <definedName name="_16_06_160" localSheetId="3">'Data Activité Béliers'!$A$1:$L$420</definedName>
    <definedName name="_16_06_160" localSheetId="4">'Data Détecteur IA'!$A$1:$L$134</definedName>
    <definedName name="_16_06_161" localSheetId="3">'Data Activité Béliers'!$A$1:$L$420</definedName>
    <definedName name="_16_06_161" localSheetId="4">'Data Détecteur IA'!$A$1:$L$397</definedName>
    <definedName name="_16_06_162" localSheetId="3">'Data Activité Béliers'!$A$1:$L$308</definedName>
    <definedName name="_16_06_162" localSheetId="4">'Data Détecteur IA'!$A$1:$L$134</definedName>
    <definedName name="_16_06_163" localSheetId="3">'Data Activité Béliers'!$A$1:$L$308</definedName>
    <definedName name="_16_06_163" localSheetId="4">'Data Détecteur IA'!$A$1:$L$285</definedName>
    <definedName name="_16_06_164" localSheetId="3">'Data Activité Béliers'!$A$1:$L$308</definedName>
    <definedName name="_16_06_164" localSheetId="4">'Data Détecteur IA'!$A$1:$L$397</definedName>
    <definedName name="_16_06_165" localSheetId="3">'Data Activité Béliers'!$A$1:$L$130</definedName>
    <definedName name="_16_06_165" localSheetId="4">'Data Détecteur IA'!$A$1:$L$285</definedName>
    <definedName name="_16_06_166" localSheetId="3">'Data Activité Béliers'!$A$1:$L$130</definedName>
    <definedName name="_16_06_166" localSheetId="4">'Data Détecteur IA'!$A$1:$L$397</definedName>
    <definedName name="_16_06_167" localSheetId="3">'Data Activité Béliers'!$A$1:$L$420</definedName>
    <definedName name="_16_06_167" localSheetId="4">'Data Détecteur IA'!$A$1:$L$397</definedName>
    <definedName name="_16_06_168" localSheetId="3">'Data Activité Béliers'!$A$1:$L$308</definedName>
    <definedName name="_16_06_168" localSheetId="4">'Data Détecteur IA'!$A$1:$L$134</definedName>
    <definedName name="_16_06_169" localSheetId="3">'Data Activité Béliers'!$A$1:$L$420</definedName>
    <definedName name="_16_06_169" localSheetId="4">'Data Détecteur IA'!$A$1:$L$397</definedName>
    <definedName name="_16_06_170" localSheetId="3">'Data Activité Béliers'!$A$1:$L$130</definedName>
    <definedName name="_16_06_170" localSheetId="4">'Data Détecteur IA'!$A$1:$L$397</definedName>
    <definedName name="_16_06_171" localSheetId="3">'Data Activité Béliers'!$A$1:$L$420</definedName>
    <definedName name="_16_06_171" localSheetId="4">'Data Détecteur IA'!$A$1:$L$397</definedName>
    <definedName name="_16_06_172" localSheetId="3">'Data Activité Béliers'!$A$1:$L$420</definedName>
    <definedName name="_16_06_172" localSheetId="4">'Data Détecteur IA'!$A$1:$L$397</definedName>
    <definedName name="_16_06_173" localSheetId="3">'Data Activité Béliers'!$A$1:$L$420</definedName>
    <definedName name="_16_06_173" localSheetId="4">'Data Détecteur IA'!$A$1:$L$397</definedName>
    <definedName name="_16_06_174" localSheetId="3">'Data Activité Béliers'!$A$1:$L$414</definedName>
    <definedName name="_16_06_174" localSheetId="4">'Data Détecteur IA'!$A$1:$L$285</definedName>
    <definedName name="_16_06_175" localSheetId="3">'Data Activité Béliers'!$A$1:$L$308</definedName>
    <definedName name="_16_06_175" localSheetId="4">'Data Détecteur IA'!$A$1:$L$397</definedName>
    <definedName name="_16_06_176" localSheetId="3">'Data Activité Béliers'!$A$1:$L$308</definedName>
    <definedName name="_16_06_176" localSheetId="4">'Data Détecteur IA'!$A$1:$L$397</definedName>
    <definedName name="_16_06_177" localSheetId="3">'Data Activité Béliers'!$A$1:$L$420</definedName>
    <definedName name="_16_06_177" localSheetId="4">'Data Détecteur IA'!$A$1:$L$285</definedName>
    <definedName name="_16_06_178" localSheetId="3">'Data Activité Béliers'!$A$1:$L$420</definedName>
    <definedName name="_16_06_178" localSheetId="4">'Data Détecteur IA'!$A$1:$L$285</definedName>
    <definedName name="_16_06_179" localSheetId="3">'Data Activité Béliers'!$A$1:$L$308</definedName>
    <definedName name="_16_06_179" localSheetId="4">'Data Détecteur IA'!$A$1:$L$391</definedName>
    <definedName name="_16_06_180" localSheetId="3">'Data Activité Béliers'!$A$1:$L$420</definedName>
    <definedName name="_16_06_180" localSheetId="4">'Data Détecteur IA'!$A$1:$L$397</definedName>
    <definedName name="_16_06_181" localSheetId="3">'Data Activité Béliers'!$A$1:$L$420</definedName>
    <definedName name="_16_06_181" localSheetId="4">'Data Détecteur IA'!$A$1:$L$285</definedName>
    <definedName name="_16_06_182" localSheetId="3">'Data Activité Béliers'!$A$1:$L$420</definedName>
    <definedName name="_16_06_182" localSheetId="4">'Data Détecteur IA'!$A$1:$L$285</definedName>
    <definedName name="_16_06_183" localSheetId="3">'Data Activité Béliers'!$A$1:$L$420</definedName>
    <definedName name="_16_06_183" localSheetId="4">'Data Détecteur IA'!$A$1:$L$397</definedName>
    <definedName name="_16_06_184" localSheetId="3">'Data Activité Béliers'!$A$1:$L$420</definedName>
    <definedName name="_16_06_184" localSheetId="4">'Data Détecteur IA'!$A$1:$L$397</definedName>
    <definedName name="_16_06_185" localSheetId="3">'Data Activité Béliers'!$A$1:$L$130</definedName>
    <definedName name="_16_06_185" localSheetId="4">'Data Détecteur IA'!$A$1:$L$397</definedName>
    <definedName name="_16_06_186" localSheetId="3">'Data Activité Béliers'!$A$1:$L$420</definedName>
    <definedName name="_16_06_186" localSheetId="4">'Data Détecteur IA'!$A$1:$L$397</definedName>
    <definedName name="_16_06_187" localSheetId="3">'Data Activité Béliers'!$A$1:$L$420</definedName>
    <definedName name="_16_06_187" localSheetId="4">'Data Détecteur IA'!$A$1:$L$397</definedName>
    <definedName name="_16_06_188" localSheetId="3">'Data Activité Béliers'!$A$1:$L$308</definedName>
    <definedName name="_16_06_188" localSheetId="4">'Data Détecteur IA'!$A$1:$L$285</definedName>
    <definedName name="_16_06_189" localSheetId="3">'Data Activité Béliers'!$A$1:$L$420</definedName>
    <definedName name="_16_06_189" localSheetId="4">'Data Détecteur IA'!$A$1:$L$397</definedName>
    <definedName name="_16_06_190" localSheetId="3">'Data Activité Béliers'!$A$1:$L$308</definedName>
    <definedName name="_16_06_190" localSheetId="4">'Data Détecteur IA'!$A$1:$L$397</definedName>
    <definedName name="_16_06_191" localSheetId="3">'Data Activité Béliers'!$A$1:$L$130</definedName>
    <definedName name="_16_06_191" localSheetId="4">'Data Détecteur IA'!$A$1:$L$397</definedName>
    <definedName name="_16_06_192" localSheetId="3">'Data Activité Béliers'!$A$1:$L$420</definedName>
    <definedName name="_16_06_192" localSheetId="4">'Data Détecteur IA'!$A$1:$L$397</definedName>
    <definedName name="_16_06_193" localSheetId="3">'Data Activité Béliers'!$A$1:$L$130</definedName>
    <definedName name="_16_06_193" localSheetId="4">'Data Détecteur IA'!$A$1:$L$285</definedName>
    <definedName name="_16_06_194" localSheetId="3">'Data Activité Béliers'!$A$1:$L$130</definedName>
    <definedName name="_16_06_194" localSheetId="4">'Data Détecteur IA'!$A$1:$L$391</definedName>
    <definedName name="_16_06_195" localSheetId="3">'Data Activité Béliers'!$A$1:$L$308</definedName>
    <definedName name="_16_06_195" localSheetId="4">'Data Détecteur IA'!$A$1:$L$134</definedName>
    <definedName name="_16_06_196" localSheetId="3">'Data Activité Béliers'!$A$1:$L$308</definedName>
    <definedName name="_16_06_196" localSheetId="4">'Data Détecteur IA'!$A$1:$L$134</definedName>
    <definedName name="_16_06_197" localSheetId="3">'Data Activité Béliers'!$A$1:$L$308</definedName>
    <definedName name="_16_06_197" localSheetId="4">'Data Détecteur IA'!$A$1:$L$397</definedName>
    <definedName name="_16_06_198" localSheetId="3">'Data Activité Béliers'!$A$1:$L$308</definedName>
    <definedName name="_16_06_198" localSheetId="4">'Data Détecteur IA'!$A$1:$L$397</definedName>
    <definedName name="_16_06_199" localSheetId="3">'Data Activité Béliers'!$A$1:$L$420</definedName>
    <definedName name="_16_06_199" localSheetId="4">'Data Détecteur IA'!$A$1:$L$285</definedName>
    <definedName name="_16_06_200" localSheetId="3">'Data Activité Béliers'!$A$1:$L$130</definedName>
    <definedName name="_16_06_200" localSheetId="4">'Data Détecteur IA'!$A$1:$L$397</definedName>
    <definedName name="_16_06_201" localSheetId="3">'Data Activité Béliers'!$A$1:$L$420</definedName>
    <definedName name="_16_06_201" localSheetId="4">'Data Détecteur IA'!$A$1:$L$285</definedName>
    <definedName name="_16_06_202" localSheetId="3">'Data Activité Béliers'!$A$1:$L$308</definedName>
    <definedName name="_16_06_202" localSheetId="4">'Data Détecteur IA'!$A$1:$L$397</definedName>
    <definedName name="_16_06_203" localSheetId="3">'Data Activité Béliers'!$A$1:$L$420</definedName>
    <definedName name="_16_06_203" localSheetId="4">'Data Détecteur IA'!$A$1:$L$285</definedName>
    <definedName name="_16_06_204" localSheetId="3">'Data Activité Béliers'!$A$1:$L$420</definedName>
    <definedName name="_16_06_204" localSheetId="4">'Data Détecteur IA'!$A$1:$L$397</definedName>
    <definedName name="_16_06_205" localSheetId="3">'Data Activité Béliers'!$A$1:$L$420</definedName>
    <definedName name="_16_06_205" localSheetId="4">'Data Détecteur IA'!$A$1:$L$391</definedName>
    <definedName name="_16_06_206" localSheetId="3">'Data Activité Béliers'!$A$1:$L$130</definedName>
    <definedName name="_16_06_206" localSheetId="4">'Data Détecteur IA'!$A$1:$L$134</definedName>
    <definedName name="_16_06_207" localSheetId="3">'Data Activité Béliers'!$A$1:$L$308</definedName>
    <definedName name="_16_06_207" localSheetId="4">'Data Détecteur IA'!$A$1:$L$134</definedName>
    <definedName name="_16_06_208" localSheetId="3">'Data Activité Béliers'!$A$1:$L$130</definedName>
    <definedName name="_16_06_208" localSheetId="4">'Data Détecteur IA'!$A$1:$L$285</definedName>
    <definedName name="_16_06_209" localSheetId="3">'Data Activité Béliers'!$A$1:$L$308</definedName>
    <definedName name="_16_06_209" localSheetId="4">'Data Détecteur IA'!$A$1:$L$285</definedName>
    <definedName name="_16_06_210" localSheetId="3">'Data Activité Béliers'!$A$1:$L$308</definedName>
    <definedName name="_16_06_210" localSheetId="4">'Data Détecteur IA'!$A$1:$L$397</definedName>
    <definedName name="_16_06_211" localSheetId="3">'Data Activité Béliers'!$A$1:$L$414</definedName>
    <definedName name="_16_06_211" localSheetId="4">'Data Détecteur IA'!$A$1:$L$397</definedName>
    <definedName name="_16_06_212" localSheetId="3">'Data Activité Béliers'!$A$1:$L$308</definedName>
    <definedName name="_16_06_212" localSheetId="4">'Data Détecteur IA'!$A$1:$L$285</definedName>
    <definedName name="_16_06_213" localSheetId="3">'Data Activité Béliers'!$A$1:$L$130</definedName>
    <definedName name="_16_06_213" localSheetId="4">'Data Détecteur IA'!$A$1:$L$134</definedName>
    <definedName name="_16_06_214" localSheetId="3">'Data Activité Béliers'!$A$1:$L$420</definedName>
    <definedName name="_16_06_214" localSheetId="4">'Data Détecteur IA'!$A$1:$L$397</definedName>
    <definedName name="_16_06_215" localSheetId="3">'Data Activité Béliers'!$A$1:$L$420</definedName>
    <definedName name="_16_06_215" localSheetId="4">'Data Détecteur IA'!$A$1:$L$397</definedName>
    <definedName name="_16_06_216" localSheetId="3">'Data Activité Béliers'!$A$1:$L$420</definedName>
    <definedName name="_16_06_216" localSheetId="4">'Data Détecteur IA'!$A$1:$L$134</definedName>
    <definedName name="_16_06_217" localSheetId="3">'Data Activité Béliers'!$A$1:$L$308</definedName>
    <definedName name="_16_06_217" localSheetId="4">'Data Détecteur IA'!$A$1:$L$397</definedName>
    <definedName name="_16_06_218" localSheetId="3">'Data Activité Béliers'!$A$1:$L$130</definedName>
    <definedName name="_16_06_218" localSheetId="4">'Data Détecteur IA'!$A$1:$L$285</definedName>
    <definedName name="_16_06_219" localSheetId="3">'Data Activité Béliers'!$A$1:$L$308</definedName>
    <definedName name="_16_06_219" localSheetId="4">'Data Détecteur IA'!$A$1:$L$397</definedName>
    <definedName name="_16_06_22" localSheetId="3">'Data Activité Béliers'!$A$1:$L$265</definedName>
    <definedName name="_16_06_22" localSheetId="4">'Data Détecteur IA'!$A$1:$L$265</definedName>
    <definedName name="_16_06_220" localSheetId="3">'Data Activité Béliers'!$A$1:$L$420</definedName>
    <definedName name="_16_06_220" localSheetId="4">'Data Détecteur IA'!$A$1:$L$285</definedName>
    <definedName name="_16_06_221" localSheetId="3">'Data Activité Béliers'!$A$1:$L$420</definedName>
    <definedName name="_16_06_221" localSheetId="4">'Data Détecteur IA'!$A$1:$L$285</definedName>
    <definedName name="_16_06_222" localSheetId="3">'Data Activité Béliers'!$A$1:$L$308</definedName>
    <definedName name="_16_06_222" localSheetId="4">'Data Détecteur IA'!$A$1:$L$285</definedName>
    <definedName name="_16_06_223" localSheetId="3">'Data Activité Béliers'!$A$1:$L$308</definedName>
    <definedName name="_16_06_223" localSheetId="4">'Data Détecteur IA'!$A$1:$L$397</definedName>
    <definedName name="_16_06_224" localSheetId="3">'Data Activité Béliers'!$A$1:$L$308</definedName>
    <definedName name="_16_06_224" localSheetId="4">'Data Détecteur IA'!$A$1:$L$285</definedName>
    <definedName name="_16_06_225" localSheetId="3">'Data Activité Béliers'!$A$1:$L$130</definedName>
    <definedName name="_16_06_225" localSheetId="4">'Data Détecteur IA'!$A$1:$L$285</definedName>
    <definedName name="_16_06_226" localSheetId="3">'Data Activité Béliers'!$A$1:$L$130</definedName>
    <definedName name="_16_06_226" localSheetId="4">'Data Détecteur IA'!$A$1:$L$134</definedName>
    <definedName name="_16_06_227" localSheetId="3">'Data Activité Béliers'!$A$1:$L$420</definedName>
    <definedName name="_16_06_227" localSheetId="4">'Data Détecteur IA'!$A$1:$L$134</definedName>
    <definedName name="_16_06_228" localSheetId="3">'Data Activité Béliers'!$A$1:$L$308</definedName>
    <definedName name="_16_06_228" localSheetId="4">'Data Détecteur IA'!$A$1:$L$285</definedName>
    <definedName name="_16_06_229" localSheetId="3">'Data Activité Béliers'!$A$1:$L$420</definedName>
    <definedName name="_16_06_229" localSheetId="4">'Data Détecteur IA'!$A$1:$L$285</definedName>
    <definedName name="_16_06_23" localSheetId="3">'Data Activité Béliers'!$A$1:$L$265</definedName>
    <definedName name="_16_06_23" localSheetId="4">'Data Détecteur IA'!$A$1:$L$371</definedName>
    <definedName name="_16_06_230" localSheetId="3">'Data Activité Béliers'!$A$1:$L$130</definedName>
    <definedName name="_16_06_230" localSheetId="4">'Data Détecteur IA'!$A$1:$L$397</definedName>
    <definedName name="_16_06_231" localSheetId="3">'Data Activité Béliers'!$A$1:$L$420</definedName>
    <definedName name="_16_06_231" localSheetId="4">'Data Détecteur IA'!$A$1:$L$397</definedName>
    <definedName name="_16_06_232" localSheetId="3">'Data Activité Béliers'!$A$1:$L$130</definedName>
    <definedName name="_16_06_232" localSheetId="4">'Data Détecteur IA'!$A$1:$L$391</definedName>
    <definedName name="_16_06_233" localSheetId="3">'Data Activité Béliers'!$A$1:$L$420</definedName>
    <definedName name="_16_06_233" localSheetId="4">'Data Détecteur IA'!$A$1:$L$397</definedName>
    <definedName name="_16_06_234" localSheetId="3">'Data Activité Béliers'!$A$1:$L$308</definedName>
    <definedName name="_16_06_234" localSheetId="4">'Data Détecteur IA'!$A$1:$L$397</definedName>
    <definedName name="_16_06_235" localSheetId="3">'Data Activité Béliers'!$A$1:$L$130</definedName>
    <definedName name="_16_06_235" localSheetId="4">'Data Détecteur IA'!$A$1:$L$285</definedName>
    <definedName name="_16_06_236" localSheetId="3">'Data Activité Béliers'!$A$1:$L$130</definedName>
    <definedName name="_16_06_236" localSheetId="4">'Data Détecteur IA'!$A$1:$L$397</definedName>
    <definedName name="_16_06_237" localSheetId="3">'Data Activité Béliers'!$A$1:$L$130</definedName>
    <definedName name="_16_06_237" localSheetId="4">'Data Détecteur IA'!$A$1:$L$397</definedName>
    <definedName name="_16_06_238" localSheetId="3">'Data Activité Béliers'!$A$1:$L$308</definedName>
    <definedName name="_16_06_238" localSheetId="4">'Data Détecteur IA'!$A$1:$L$397</definedName>
    <definedName name="_16_06_239" localSheetId="3">'Data Activité Béliers'!$A$1:$L$130</definedName>
    <definedName name="_16_06_239" localSheetId="4">'Data Détecteur IA'!$A$1:$L$134</definedName>
    <definedName name="_16_06_24" localSheetId="3">'Data Activité Béliers'!$A$1:$L$377</definedName>
    <definedName name="_16_06_24" localSheetId="4">'Data Détecteur IA'!$A$1:$L$371</definedName>
    <definedName name="_16_06_240" localSheetId="3">'Data Activité Béliers'!$A$1:$L$420</definedName>
    <definedName name="_16_06_240" localSheetId="4">'Data Détecteur IA'!$A$1:$L$134</definedName>
    <definedName name="_16_06_241" localSheetId="3">'Data Activité Béliers'!$A$1:$L$130</definedName>
    <definedName name="_16_06_241" localSheetId="4">'Data Détecteur IA'!$A$1:$L$285</definedName>
    <definedName name="_16_06_242" localSheetId="3">'Data Activité Béliers'!$A$1:$L$130</definedName>
    <definedName name="_16_06_243" localSheetId="3">'Data Activité Béliers'!$A$1:$L$130</definedName>
    <definedName name="_16_06_244" localSheetId="3">'Data Activité Béliers'!$A$1:$L$130</definedName>
    <definedName name="_16_06_245" localSheetId="3">'Data Activité Béliers'!$A$1:$L$130</definedName>
    <definedName name="_16_06_246" localSheetId="3">'Data Activité Béliers'!$A$1:$L$420</definedName>
    <definedName name="_16_06_247" localSheetId="3">'Data Activité Béliers'!$A$1:$L$130</definedName>
    <definedName name="_16_06_248" localSheetId="3">'Data Activité Béliers'!$A$1:$L$308</definedName>
    <definedName name="_16_06_249" localSheetId="3">'Data Activité Béliers'!$A$1:$L$420</definedName>
    <definedName name="_16_06_25" localSheetId="3">'Data Activité Béliers'!$A$1:$L$377</definedName>
    <definedName name="_16_06_25" localSheetId="4">'Data Détecteur IA'!$A$1:$L$377</definedName>
    <definedName name="_16_06_250" localSheetId="3">'Data Activité Béliers'!$A$1:$L$420</definedName>
    <definedName name="_16_06_251" localSheetId="3">'Data Activité Béliers'!$A$1:$L$130</definedName>
    <definedName name="_16_06_252" localSheetId="3">'Data Activité Béliers'!$A$1:$L$130</definedName>
    <definedName name="_16_06_253" localSheetId="3">'Data Activité Béliers'!$A$1:$L$130</definedName>
    <definedName name="_16_06_254" localSheetId="3">'Data Activité Béliers'!$A$1:$L$420</definedName>
    <definedName name="_16_06_255" localSheetId="3">'Data Activité Béliers'!$A$1:$L$130</definedName>
    <definedName name="_16_06_256" localSheetId="3">'Data Activité Béliers'!$A$1:$L$130</definedName>
    <definedName name="_16_06_257" localSheetId="3">'Data Activité Béliers'!$A$1:$L$420</definedName>
    <definedName name="_16_06_258" localSheetId="3">'Data Activité Béliers'!$A$1:$L$130</definedName>
    <definedName name="_16_06_259" localSheetId="3">'Data Activité Béliers'!$A$1:$L$130</definedName>
    <definedName name="_16_06_26" localSheetId="3">'Data Activité Béliers'!$A$1:$L$377</definedName>
    <definedName name="_16_06_26" localSheetId="4">'Data Détecteur IA'!$A$1:$L$265</definedName>
    <definedName name="_16_06_260" localSheetId="3">'Data Activité Béliers'!$A$1:$L$420</definedName>
    <definedName name="_16_06_261" localSheetId="3">'Data Activité Béliers'!$A$1:$L$308</definedName>
    <definedName name="_16_06_27" localSheetId="3">'Data Activité Béliers'!$A$1:$L$377</definedName>
    <definedName name="_16_06_27" localSheetId="4">'Data Détecteur IA'!$A$1:$L$265</definedName>
    <definedName name="_16_06_28" localSheetId="3">'Data Activité Béliers'!$A$1:$L$377</definedName>
    <definedName name="_16_06_28" localSheetId="4">'Data Détecteur IA'!$A$1:$L$377</definedName>
    <definedName name="_16_06_29" localSheetId="3">'Data Activité Béliers'!$A$1:$L$377</definedName>
    <definedName name="_16_06_29" localSheetId="4">'Data Détecteur IA'!$A$1:$L$377</definedName>
    <definedName name="_16_06_30" localSheetId="3">'Data Activité Béliers'!$A$1:$L$129</definedName>
    <definedName name="_16_06_30" localSheetId="4">'Data Détecteur IA'!$A$1:$L$377</definedName>
    <definedName name="_16_06_31" localSheetId="3">'Data Activité Béliers'!$A$1:$L$129</definedName>
    <definedName name="_16_06_31" localSheetId="4">'Data Détecteur IA'!$A$1:$L$377</definedName>
    <definedName name="_16_06_32" localSheetId="3">'Data Activité Béliers'!$A$1:$L$129</definedName>
    <definedName name="_16_06_32" localSheetId="4">'Data Détecteur IA'!$A$1:$L$129</definedName>
    <definedName name="_16_06_33" localSheetId="3">'Data Activité Béliers'!$A$1:$L$129</definedName>
    <definedName name="_16_06_33" localSheetId="4">'Data Détecteur IA'!$A$1:$L$129</definedName>
    <definedName name="_16_06_34" localSheetId="3">'Data Activité Béliers'!$A$1:$L$129</definedName>
    <definedName name="_16_06_34" localSheetId="4">'Data Détecteur IA'!$A$1:$L$129</definedName>
    <definedName name="_16_06_35" localSheetId="3">'Data Activité Béliers'!$A$1:$L$129</definedName>
    <definedName name="_16_06_35" localSheetId="4">'Data Détecteur IA'!$A$1:$L$129</definedName>
    <definedName name="_16_06_36" localSheetId="3">'Data Activité Béliers'!$A$1:$L$130</definedName>
    <definedName name="_16_06_36" localSheetId="4">'Data Détecteur IA'!$A$1:$L$129</definedName>
    <definedName name="_16_06_37" localSheetId="3">'Data Activité Béliers'!$A$1:$L$130</definedName>
    <definedName name="_16_06_37" localSheetId="4">'Data Détecteur IA'!$A$1:$L$129</definedName>
    <definedName name="_16_06_38" localSheetId="3">'Data Activité Béliers'!$A$1:$L$308</definedName>
    <definedName name="_16_06_38" localSheetId="4">'Data Détecteur IA'!$A$1:$L$265</definedName>
    <definedName name="_16_06_39" localSheetId="3">'Data Activité Béliers'!$A$1:$L$420</definedName>
    <definedName name="_16_06_39" localSheetId="4">'Data Détecteur IA'!$A$1:$L$377</definedName>
    <definedName name="_16_06_40" localSheetId="3">'Data Activité Béliers'!$A$1:$L$420</definedName>
    <definedName name="_16_06_40" localSheetId="4">'Data Détecteur IA'!$A$1:$L$377</definedName>
    <definedName name="_16_06_41" localSheetId="3">'Data Activité Béliers'!$A$1:$L$308</definedName>
    <definedName name="_16_06_41" localSheetId="4">'Data Détecteur IA'!$A$1:$L$265</definedName>
    <definedName name="_16_06_42" localSheetId="3">'Data Activité Béliers'!$A$1:$L$420</definedName>
    <definedName name="_16_06_42" localSheetId="4">'Data Détecteur IA'!$A$1:$L$265</definedName>
    <definedName name="_16_06_43" localSheetId="3">'Data Activité Béliers'!$A$1:$L$308</definedName>
    <definedName name="_16_06_43" localSheetId="4">'Data Détecteur IA'!$A$1:$L$265</definedName>
    <definedName name="_16_06_44" localSheetId="3">'Data Activité Béliers'!$A$1:$L$130</definedName>
    <definedName name="_16_06_44" localSheetId="4">'Data Détecteur IA'!$A$1:$L$377</definedName>
    <definedName name="_16_06_45" localSheetId="3">'Data Activité Béliers'!$A$1:$L$308</definedName>
    <definedName name="_16_06_45" localSheetId="4">'Data Détecteur IA'!$A$1:$L$377</definedName>
    <definedName name="_16_06_46" localSheetId="3">'Data Activité Béliers'!$A$1:$L$414</definedName>
    <definedName name="_16_06_46" localSheetId="4">'Data Détecteur IA'!$A$1:$L$265</definedName>
    <definedName name="_16_06_47" localSheetId="3">'Data Activité Béliers'!$A$1:$L$420</definedName>
    <definedName name="_16_06_47" localSheetId="4">'Data Détecteur IA'!$A$1:$L$265</definedName>
    <definedName name="_16_06_48" localSheetId="3">'Data Activité Béliers'!$A$1:$L$308</definedName>
    <definedName name="_16_06_48" localSheetId="4">'Data Détecteur IA'!$A$1:$L$377</definedName>
    <definedName name="_16_06_49" localSheetId="3">'Data Activité Béliers'!$A$1:$L$420</definedName>
    <definedName name="_16_06_49" localSheetId="4">'Data Détecteur IA'!$A$1:$L$377</definedName>
    <definedName name="_16_06_50" localSheetId="3">'Data Activité Béliers'!$A$1:$L$420</definedName>
    <definedName name="_16_06_50" localSheetId="4">'Data Détecteur IA'!$A$1:$L$377</definedName>
    <definedName name="_16_06_51" localSheetId="3">'Data Activité Béliers'!$A$1:$L$420</definedName>
    <definedName name="_16_06_51" localSheetId="4">'Data Détecteur IA'!$A$1:$L$377</definedName>
    <definedName name="_16_06_52" localSheetId="3">'Data Activité Béliers'!$A$1:$L$308</definedName>
    <definedName name="_16_06_52" localSheetId="4">'Data Détecteur IA'!$A$1:$L$265</definedName>
    <definedName name="_16_06_53" localSheetId="3">'Data Activité Béliers'!$A$1:$L$308</definedName>
    <definedName name="_16_06_53" localSheetId="4">'Data Détecteur IA'!$A$1:$L$265</definedName>
    <definedName name="_16_06_54" localSheetId="3">'Data Activité Béliers'!$A$1:$L$420</definedName>
    <definedName name="_16_06_54" localSheetId="4">'Data Détecteur IA'!$A$1:$L$377</definedName>
    <definedName name="_16_06_55" localSheetId="3">'Data Activité Béliers'!$A$1:$L$420</definedName>
    <definedName name="_16_06_55" localSheetId="4">'Data Détecteur IA'!$A$1:$L$377</definedName>
    <definedName name="_16_06_56" localSheetId="3">'Data Activité Béliers'!$A$1:$L$308</definedName>
    <definedName name="_16_06_56" localSheetId="4">'Data Détecteur IA'!$A$1:$L$265</definedName>
    <definedName name="_16_06_57" localSheetId="3">'Data Activité Béliers'!$A$1:$L$308</definedName>
    <definedName name="_16_06_57" localSheetId="4">'Data Détecteur IA'!$A$1:$L$265</definedName>
    <definedName name="_16_06_58" localSheetId="3">'Data Activité Béliers'!$A$1:$L$420</definedName>
    <definedName name="_16_06_58" localSheetId="4">'Data Détecteur IA'!$A$1:$L$377</definedName>
    <definedName name="_16_06_59" localSheetId="3">'Data Activité Béliers'!$A$1:$L$420</definedName>
    <definedName name="_16_06_59" localSheetId="4">'Data Détecteur IA'!$A$1:$L$377</definedName>
    <definedName name="_16_06_60" localSheetId="3">'Data Activité Béliers'!$A$1:$L$420</definedName>
    <definedName name="_16_06_60" localSheetId="4">'Data Détecteur IA'!$A$1:$L$265</definedName>
    <definedName name="_16_06_61" localSheetId="3">'Data Activité Béliers'!$A$1:$L$308</definedName>
    <definedName name="_16_06_61" localSheetId="4">'Data Détecteur IA'!$A$1:$L$377</definedName>
    <definedName name="_16_06_62" localSheetId="3">'Data Activité Béliers'!$A$1:$L$308</definedName>
    <definedName name="_16_06_62" localSheetId="4">'Data Détecteur IA'!$A$1:$L$265</definedName>
    <definedName name="_16_06_63" localSheetId="3">'Data Activité Béliers'!$A$1:$L$420</definedName>
    <definedName name="_16_06_63" localSheetId="4">'Data Détecteur IA'!$A$1:$L$377</definedName>
    <definedName name="_16_06_64" localSheetId="3">'Data Activité Béliers'!$A$1:$L$420</definedName>
    <definedName name="_16_06_64" localSheetId="4">'Data Détecteur IA'!$A$1:$L$265</definedName>
    <definedName name="_16_06_65" localSheetId="3">'Data Activité Béliers'!$A$1:$L$308</definedName>
    <definedName name="_16_06_65" localSheetId="4">'Data Détecteur IA'!$A$1:$L$377</definedName>
    <definedName name="_16_06_66" localSheetId="3">'Data Activité Béliers'!$A$1:$L$414</definedName>
    <definedName name="_16_06_66" localSheetId="4">'Data Détecteur IA'!$A$1:$L$371</definedName>
    <definedName name="_16_06_67" localSheetId="3">'Data Activité Béliers'!$A$1:$L$420</definedName>
    <definedName name="_16_06_67" localSheetId="4">'Data Détecteur IA'!$A$1:$L$377</definedName>
    <definedName name="_16_06_68" localSheetId="3">'Data Activité Béliers'!$A$1:$L$308</definedName>
    <definedName name="_16_06_68" localSheetId="4">'Data Détecteur IA'!$A$1:$L$377</definedName>
    <definedName name="_16_06_69" localSheetId="3">'Data Activité Béliers'!$A$1:$L$420</definedName>
    <definedName name="_16_06_69" localSheetId="4">'Data Détecteur IA'!$A$1:$L$265</definedName>
    <definedName name="_16_06_70" localSheetId="3">'Data Activité Béliers'!$A$1:$L$420</definedName>
    <definedName name="_16_06_70" localSheetId="4">'Data Détecteur IA'!$A$1:$L$265</definedName>
    <definedName name="_16_06_71" localSheetId="3">'Data Activité Béliers'!$A$1:$L$308</definedName>
    <definedName name="_16_06_71" localSheetId="4">'Data Détecteur IA'!$A$1:$L$377</definedName>
    <definedName name="_16_06_72" localSheetId="3">'Data Activité Béliers'!$A$1:$L$420</definedName>
    <definedName name="_16_06_72" localSheetId="4">'Data Détecteur IA'!$A$1:$L$265</definedName>
    <definedName name="_16_06_73" localSheetId="3">'Data Activité Béliers'!$A$1:$L$130</definedName>
    <definedName name="_16_06_73" localSheetId="4">'Data Détecteur IA'!$A$1:$L$371</definedName>
    <definedName name="_16_06_74" localSheetId="3">'Data Activité Béliers'!$A$1:$L$130</definedName>
    <definedName name="_16_06_74" localSheetId="4">'Data Détecteur IA'!$A$1:$L$265</definedName>
    <definedName name="_16_06_75" localSheetId="3">'Data Activité Béliers'!$A$1:$L$308</definedName>
    <definedName name="_16_06_75" localSheetId="4">'Data Détecteur IA'!$A$1:$L$377</definedName>
    <definedName name="_16_06_76" localSheetId="3">'Data Activité Béliers'!$A$1:$L$420</definedName>
    <definedName name="_16_06_76" localSheetId="4">'Data Détecteur IA'!$A$1:$L$377</definedName>
    <definedName name="_16_06_77" localSheetId="3">'Data Activité Béliers'!$A$1:$L$420</definedName>
    <definedName name="_16_06_77" localSheetId="4">'Data Détecteur IA'!$A$1:$L$377</definedName>
    <definedName name="_16_06_78" localSheetId="3">'Data Activité Béliers'!$A$1:$L$130</definedName>
    <definedName name="_16_06_78" localSheetId="4">'Data Détecteur IA'!$A$1:$L$265</definedName>
    <definedName name="_16_06_79" localSheetId="3">'Data Activité Béliers'!$A$1:$L$308</definedName>
    <definedName name="_16_06_79" localSheetId="4">'Data Détecteur IA'!$A$1:$L$265</definedName>
    <definedName name="_16_06_80" localSheetId="3">'Data Activité Béliers'!$A$1:$L$130</definedName>
    <definedName name="_16_06_80" localSheetId="4">'Data Détecteur IA'!$A$1:$L$377</definedName>
    <definedName name="_16_06_81" localSheetId="3">'Data Activité Béliers'!$A$1:$L$130</definedName>
    <definedName name="_16_06_81" localSheetId="4">'Data Détecteur IA'!$A$1:$L$377</definedName>
    <definedName name="_16_06_82" localSheetId="3">'Data Activité Béliers'!$A$1:$L$130</definedName>
    <definedName name="_16_06_82" localSheetId="4">'Data Détecteur IA'!$A$1:$L$285</definedName>
    <definedName name="_16_06_83" localSheetId="3">'Data Activité Béliers'!$A$1:$L$130</definedName>
    <definedName name="_16_06_83" localSheetId="4">'Data Détecteur IA'!$A$1:$L$397</definedName>
    <definedName name="_16_06_84" localSheetId="3">'Data Activité Béliers'!$A$1:$L$308</definedName>
    <definedName name="_16_06_84" localSheetId="4">'Data Détecteur IA'!$A$1:$L$134</definedName>
    <definedName name="_16_06_85" localSheetId="3">'Data Activité Béliers'!$A$1:$L$420</definedName>
    <definedName name="_16_06_85" localSheetId="4">'Data Détecteur IA'!$A$1:$L$134</definedName>
    <definedName name="_16_06_86" localSheetId="3">'Data Activité Béliers'!$A$1:$L$130</definedName>
    <definedName name="_16_06_86" localSheetId="4">'Data Détecteur IA'!$A$1:$L$285</definedName>
    <definedName name="_16_06_87" localSheetId="3">'Data Activité Béliers'!$A$1:$L$308</definedName>
    <definedName name="_16_06_87" localSheetId="4">'Data Détecteur IA'!$A$1:$L$285</definedName>
    <definedName name="_16_06_88" localSheetId="3">'Data Activité Béliers'!$A$1:$L$130</definedName>
    <definedName name="_16_06_88" localSheetId="4">'Data Détecteur IA'!$A$1:$L$397</definedName>
    <definedName name="_16_06_89" localSheetId="3">'Data Activité Béliers'!$A$1:$L$420</definedName>
    <definedName name="_16_06_89" localSheetId="4">'Data Détecteur IA'!$A$1:$L$134</definedName>
    <definedName name="_16_06_90" localSheetId="3">'Data Activité Béliers'!$A$1:$L$420</definedName>
    <definedName name="_16_06_90" localSheetId="4">'Data Détecteur IA'!$A$1:$L$285</definedName>
    <definedName name="_16_06_91" localSheetId="3">'Data Activité Béliers'!$A$1:$L$308</definedName>
    <definedName name="_16_06_91" localSheetId="4">'Data Détecteur IA'!$A$1:$L$397</definedName>
    <definedName name="_16_06_92" localSheetId="3">'Data Activité Béliers'!$A$1:$L$420</definedName>
    <definedName name="_16_06_92" localSheetId="4">'Data Détecteur IA'!$A$1:$L$397</definedName>
    <definedName name="_16_06_93" localSheetId="3">'Data Activité Béliers'!$A$1:$L$130</definedName>
    <definedName name="_16_06_93" localSheetId="4">'Data Détecteur IA'!$A$1:$L$134</definedName>
    <definedName name="_16_06_94" localSheetId="3">'Data Activité Béliers'!$A$1:$L$420</definedName>
    <definedName name="_16_06_94" localSheetId="4">'Data Détecteur IA'!$A$1:$L$285</definedName>
    <definedName name="_16_06_95" localSheetId="3">'Data Activité Béliers'!$A$1:$L$130</definedName>
    <definedName name="_16_06_95" localSheetId="4">'Data Détecteur IA'!$A$1:$L$391</definedName>
    <definedName name="_16_06_96" localSheetId="3">'Data Activité Béliers'!$A$1:$L$308</definedName>
    <definedName name="_16_06_96" localSheetId="4">'Data Détecteur IA'!$A$1:$L$285</definedName>
    <definedName name="_16_06_97" localSheetId="3">'Data Activité Béliers'!$A$1:$L$420</definedName>
    <definedName name="_16_06_97" localSheetId="4">'Data Détecteur IA'!$A$1:$L$285</definedName>
    <definedName name="_16_06_98" localSheetId="3">'Data Activité Béliers'!$A$1:$L$130</definedName>
    <definedName name="_16_06_98" localSheetId="4">'Data Détecteur IA'!$A$1:$L$134</definedName>
    <definedName name="_16_06_99" localSheetId="3">'Data Activité Béliers'!$A$1:$L$420</definedName>
    <definedName name="_16_06_99" localSheetId="4">'Data Détecteur IA'!$A$1:$L$397</definedName>
    <definedName name="_xlnm._FilterDatabase" localSheetId="5" hidden="1">'All Data EM La Fage 2023'!$G$4:$BD$52</definedName>
    <definedName name="_xlnm._FilterDatabase" localSheetId="2" hidden="1">'Correspondance Tags'!$C$1:$E$1</definedName>
    <definedName name="_xlnm._FilterDatabase" localSheetId="4" hidden="1">'Data Détecteur IA'!$A$1:$O$938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55" i="1" l="1"/>
  <c r="BB51" i="1" l="1"/>
  <c r="BB46" i="1"/>
  <c r="BB43" i="1"/>
  <c r="BB42" i="1"/>
  <c r="BB41" i="1"/>
  <c r="BB40" i="1"/>
  <c r="BB39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7" i="1"/>
  <c r="AX57" i="1" l="1"/>
  <c r="AX56" i="1"/>
  <c r="AX55" i="1"/>
  <c r="BB49" i="1"/>
  <c r="BB47" i="1"/>
  <c r="BB6" i="1"/>
  <c r="BB5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E69" i="1" l="1"/>
  <c r="AE74" i="1"/>
  <c r="AE84" i="1"/>
  <c r="AE79" i="1"/>
  <c r="AE64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B84" i="1"/>
  <c r="AB79" i="1"/>
  <c r="AB74" i="1"/>
  <c r="AB69" i="1"/>
  <c r="AB64" i="1"/>
  <c r="AB57" i="1"/>
  <c r="AB56" i="1"/>
  <c r="AB55" i="1"/>
  <c r="H52" i="1"/>
  <c r="H51" i="1"/>
  <c r="H50" i="1"/>
  <c r="AD50" i="1" s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AD35" i="1" s="1"/>
  <c r="AE35" i="1" s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C10" i="2"/>
  <c r="AD16" i="1" l="1"/>
  <c r="AE16" i="1" s="1"/>
  <c r="AD9" i="1"/>
  <c r="AE9" i="1" s="1"/>
  <c r="AD25" i="1"/>
  <c r="AE25" i="1" s="1"/>
  <c r="AD51" i="1"/>
  <c r="AD22" i="1"/>
  <c r="AE22" i="1" s="1"/>
  <c r="AD28" i="1"/>
  <c r="AE28" i="1" s="1"/>
  <c r="AD6" i="1"/>
  <c r="AE6" i="1" s="1"/>
  <c r="AD30" i="1"/>
  <c r="AE30" i="1" s="1"/>
  <c r="AD8" i="1"/>
  <c r="AE8" i="1" s="1"/>
  <c r="AD40" i="1"/>
  <c r="AE40" i="1" s="1"/>
  <c r="AD48" i="1"/>
  <c r="AE48" i="1" s="1"/>
  <c r="AD27" i="1"/>
  <c r="AE27" i="1" s="1"/>
  <c r="AD17" i="1"/>
  <c r="AE17" i="1" s="1"/>
  <c r="AD33" i="1"/>
  <c r="AE33" i="1" s="1"/>
  <c r="AD12" i="1"/>
  <c r="AE12" i="1" s="1"/>
  <c r="AD36" i="1"/>
  <c r="AE36" i="1" s="1"/>
  <c r="AD52" i="1"/>
  <c r="AE52" i="1" s="1"/>
  <c r="AD5" i="1"/>
  <c r="AE5" i="1" s="1"/>
  <c r="AD37" i="1"/>
  <c r="AE37" i="1" s="1"/>
  <c r="AD14" i="1"/>
  <c r="AE14" i="1" s="1"/>
  <c r="AD44" i="1"/>
  <c r="AE44" i="1" s="1"/>
  <c r="AD38" i="1"/>
  <c r="AE38" i="1" s="1"/>
  <c r="AD46" i="1"/>
  <c r="AE46" i="1" s="1"/>
  <c r="AD24" i="1"/>
  <c r="AE24" i="1" s="1"/>
  <c r="AD10" i="1"/>
  <c r="AE10" i="1" s="1"/>
  <c r="AD18" i="1"/>
  <c r="AE18" i="1" s="1"/>
  <c r="AD26" i="1"/>
  <c r="AE26" i="1" s="1"/>
  <c r="AD34" i="1"/>
  <c r="AE34" i="1" s="1"/>
  <c r="AD42" i="1"/>
  <c r="AE42" i="1" s="1"/>
  <c r="AE50" i="1"/>
  <c r="AD20" i="1"/>
  <c r="AE20" i="1" s="1"/>
  <c r="AD32" i="1"/>
  <c r="AE32" i="1" s="1"/>
  <c r="AD11" i="1"/>
  <c r="AE11" i="1" s="1"/>
  <c r="AD19" i="1"/>
  <c r="AE19" i="1" s="1"/>
  <c r="AD43" i="1"/>
  <c r="AE43" i="1" s="1"/>
  <c r="AE51" i="1"/>
  <c r="AD13" i="1"/>
  <c r="AE13" i="1" s="1"/>
  <c r="AD21" i="1"/>
  <c r="AE21" i="1" s="1"/>
  <c r="AD29" i="1"/>
  <c r="AE29" i="1" s="1"/>
  <c r="AD45" i="1"/>
  <c r="AE45" i="1" s="1"/>
  <c r="AD7" i="1"/>
  <c r="AE7" i="1" s="1"/>
  <c r="AD15" i="1"/>
  <c r="AE15" i="1" s="1"/>
  <c r="AD23" i="1"/>
  <c r="AE23" i="1" s="1"/>
  <c r="AD31" i="1"/>
  <c r="AE31" i="1" s="1"/>
  <c r="AD39" i="1"/>
  <c r="AE39" i="1" s="1"/>
  <c r="AD47" i="1"/>
  <c r="AE47" i="1" s="1"/>
  <c r="AD41" i="1"/>
  <c r="AE41" i="1" s="1"/>
  <c r="AD49" i="1"/>
  <c r="AE49" i="1" s="1"/>
  <c r="AA74" i="1"/>
  <c r="Z74" i="1"/>
  <c r="Y74" i="1"/>
  <c r="X74" i="1"/>
  <c r="W74" i="1"/>
  <c r="S74" i="1"/>
  <c r="R74" i="1"/>
  <c r="P74" i="1"/>
  <c r="O74" i="1"/>
  <c r="M74" i="1"/>
  <c r="L74" i="1"/>
  <c r="K74" i="1"/>
  <c r="J74" i="1"/>
  <c r="I74" i="1"/>
  <c r="G74" i="1"/>
  <c r="AA69" i="1"/>
  <c r="Z69" i="1"/>
  <c r="Y69" i="1"/>
  <c r="X69" i="1"/>
  <c r="W69" i="1"/>
  <c r="S69" i="1"/>
  <c r="R69" i="1"/>
  <c r="P69" i="1"/>
  <c r="O69" i="1"/>
  <c r="M69" i="1"/>
  <c r="L69" i="1"/>
  <c r="K69" i="1"/>
  <c r="J69" i="1"/>
  <c r="I69" i="1"/>
  <c r="G69" i="1"/>
  <c r="R64" i="1"/>
  <c r="O64" i="1"/>
  <c r="M64" i="1"/>
  <c r="L64" i="1"/>
  <c r="K64" i="1"/>
  <c r="J64" i="1"/>
  <c r="P64" i="1"/>
  <c r="S64" i="1"/>
  <c r="R84" i="1"/>
  <c r="O84" i="1"/>
  <c r="M84" i="1"/>
  <c r="L84" i="1"/>
  <c r="J84" i="1"/>
  <c r="I84" i="1"/>
  <c r="G84" i="1"/>
  <c r="R79" i="1"/>
  <c r="O79" i="1"/>
  <c r="M79" i="1"/>
  <c r="L79" i="1"/>
  <c r="J79" i="1"/>
  <c r="I79" i="1"/>
  <c r="G79" i="1"/>
  <c r="AV57" i="1"/>
  <c r="AV56" i="1"/>
  <c r="AE57" i="1" l="1"/>
  <c r="AE55" i="1"/>
  <c r="AE56" i="1"/>
  <c r="C8" i="2"/>
  <c r="C7" i="2"/>
  <c r="K5" i="1" l="1"/>
  <c r="AG2" i="1" l="1"/>
  <c r="I64" i="1"/>
  <c r="G64" i="1"/>
  <c r="AS51" i="1" l="1"/>
  <c r="AS50" i="1"/>
  <c r="AS47" i="1"/>
  <c r="AS46" i="1"/>
  <c r="AS43" i="1"/>
  <c r="AS42" i="1"/>
  <c r="AS41" i="1"/>
  <c r="AS39" i="1"/>
  <c r="AS38" i="1"/>
  <c r="AS36" i="1"/>
  <c r="AS35" i="1"/>
  <c r="AS34" i="1"/>
  <c r="AS33" i="1"/>
  <c r="AS32" i="1"/>
  <c r="AS30" i="1"/>
  <c r="AS29" i="1"/>
  <c r="AS27" i="1"/>
  <c r="AS26" i="1"/>
  <c r="AS25" i="1"/>
  <c r="AS24" i="1"/>
  <c r="AS23" i="1"/>
  <c r="AS21" i="1"/>
  <c r="AS20" i="1"/>
  <c r="AS19" i="1"/>
  <c r="AS17" i="1"/>
  <c r="AS16" i="1"/>
  <c r="AS15" i="1"/>
  <c r="AS12" i="1"/>
  <c r="AS11" i="1"/>
  <c r="AS9" i="1"/>
  <c r="AS8" i="1"/>
  <c r="AT22" i="1"/>
  <c r="AK51" i="1"/>
  <c r="AL51" i="1" s="1"/>
  <c r="AK50" i="1"/>
  <c r="AL50" i="1" s="1"/>
  <c r="AK47" i="1"/>
  <c r="AL47" i="1" s="1"/>
  <c r="AK46" i="1"/>
  <c r="AL46" i="1" s="1"/>
  <c r="AK43" i="1"/>
  <c r="AL43" i="1" s="1"/>
  <c r="AK42" i="1"/>
  <c r="AL42" i="1" s="1"/>
  <c r="AK41" i="1"/>
  <c r="AL41" i="1" s="1"/>
  <c r="AK39" i="1"/>
  <c r="AL39" i="1" s="1"/>
  <c r="AK38" i="1"/>
  <c r="AL38" i="1" s="1"/>
  <c r="AK36" i="1"/>
  <c r="AL36" i="1" s="1"/>
  <c r="AK35" i="1"/>
  <c r="AL35" i="1" s="1"/>
  <c r="AK34" i="1"/>
  <c r="AL34" i="1" s="1"/>
  <c r="AK33" i="1"/>
  <c r="AL33" i="1" s="1"/>
  <c r="AK32" i="1"/>
  <c r="AL32" i="1" s="1"/>
  <c r="AK30" i="1"/>
  <c r="AL30" i="1" s="1"/>
  <c r="AK29" i="1"/>
  <c r="AL29" i="1" s="1"/>
  <c r="AK27" i="1"/>
  <c r="AL27" i="1" s="1"/>
  <c r="AK26" i="1"/>
  <c r="AL26" i="1" s="1"/>
  <c r="AK25" i="1"/>
  <c r="AL25" i="1" s="1"/>
  <c r="AK24" i="1"/>
  <c r="AL24" i="1" s="1"/>
  <c r="AK23" i="1"/>
  <c r="AL23" i="1" s="1"/>
  <c r="AK21" i="1"/>
  <c r="AL21" i="1" s="1"/>
  <c r="AK20" i="1"/>
  <c r="AL20" i="1" s="1"/>
  <c r="AK19" i="1"/>
  <c r="AL19" i="1" s="1"/>
  <c r="AK17" i="1"/>
  <c r="AL17" i="1" s="1"/>
  <c r="AK16" i="1"/>
  <c r="AL16" i="1" s="1"/>
  <c r="AK15" i="1"/>
  <c r="AL15" i="1" s="1"/>
  <c r="AK12" i="1"/>
  <c r="AL12" i="1" s="1"/>
  <c r="AK11" i="1"/>
  <c r="AL11" i="1" s="1"/>
  <c r="AK9" i="1"/>
  <c r="AL9" i="1" s="1"/>
  <c r="AK8" i="1"/>
  <c r="AL8" i="1" s="1"/>
  <c r="AK6" i="1"/>
  <c r="AL6" i="1" s="1"/>
  <c r="AM51" i="1"/>
  <c r="AM50" i="1"/>
  <c r="AM47" i="1"/>
  <c r="AM46" i="1"/>
  <c r="AM43" i="1"/>
  <c r="AM42" i="1"/>
  <c r="AM41" i="1"/>
  <c r="AM39" i="1"/>
  <c r="AM38" i="1"/>
  <c r="AM36" i="1"/>
  <c r="AM35" i="1"/>
  <c r="AM34" i="1"/>
  <c r="AM33" i="1"/>
  <c r="AM32" i="1"/>
  <c r="AM30" i="1"/>
  <c r="AM29" i="1"/>
  <c r="AM27" i="1"/>
  <c r="AM26" i="1"/>
  <c r="AM25" i="1"/>
  <c r="AM24" i="1"/>
  <c r="AM23" i="1"/>
  <c r="AM21" i="1"/>
  <c r="AM20" i="1"/>
  <c r="AM19" i="1"/>
  <c r="AM17" i="1"/>
  <c r="AM16" i="1"/>
  <c r="AM15" i="1"/>
  <c r="AM12" i="1"/>
  <c r="AM11" i="1"/>
  <c r="AM9" i="1"/>
  <c r="AM8" i="1"/>
  <c r="AM6" i="1"/>
  <c r="J57" i="1" l="1"/>
  <c r="I57" i="1"/>
  <c r="G57" i="1"/>
  <c r="J56" i="1"/>
  <c r="I56" i="1"/>
  <c r="G56" i="1"/>
  <c r="J55" i="1"/>
  <c r="I55" i="1"/>
  <c r="G55" i="1"/>
  <c r="S57" i="1"/>
  <c r="R57" i="1"/>
  <c r="P57" i="1"/>
  <c r="O57" i="1"/>
  <c r="L57" i="1"/>
  <c r="S56" i="1"/>
  <c r="R56" i="1"/>
  <c r="P56" i="1"/>
  <c r="O56" i="1"/>
  <c r="L56" i="1"/>
  <c r="S55" i="1"/>
  <c r="R55" i="1"/>
  <c r="P55" i="1"/>
  <c r="O55" i="1"/>
  <c r="L55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S6" i="1" l="1"/>
  <c r="S84" i="1" l="1"/>
  <c r="P84" i="1"/>
  <c r="S79" i="1"/>
  <c r="P79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1" i="1"/>
  <c r="AT20" i="1"/>
  <c r="AC57" i="1" l="1"/>
  <c r="AC56" i="1"/>
  <c r="AC55" i="1"/>
  <c r="AA84" i="1"/>
  <c r="Z84" i="1"/>
  <c r="Y84" i="1"/>
  <c r="X84" i="1"/>
  <c r="W84" i="1"/>
  <c r="AA79" i="1"/>
  <c r="Z79" i="1"/>
  <c r="Y79" i="1"/>
  <c r="X79" i="1"/>
  <c r="W79" i="1"/>
  <c r="AA64" i="1"/>
  <c r="Z64" i="1"/>
  <c r="Y64" i="1"/>
  <c r="X64" i="1"/>
  <c r="W64" i="1"/>
  <c r="AA57" i="1"/>
  <c r="Z57" i="1"/>
  <c r="Y57" i="1"/>
  <c r="X57" i="1"/>
  <c r="W57" i="1"/>
  <c r="AA56" i="1"/>
  <c r="Z56" i="1"/>
  <c r="Y56" i="1"/>
  <c r="X56" i="1"/>
  <c r="W56" i="1"/>
  <c r="AA55" i="1"/>
  <c r="Z55" i="1"/>
  <c r="Y55" i="1"/>
  <c r="X55" i="1"/>
  <c r="W55" i="1"/>
  <c r="C3" i="2" l="1"/>
  <c r="M57" i="1" l="1"/>
  <c r="M56" i="1"/>
  <c r="M55" i="1"/>
  <c r="K55" i="1" l="1"/>
  <c r="K84" i="1" l="1"/>
  <c r="K79" i="1"/>
  <c r="K57" i="1" l="1"/>
  <c r="K56" i="1"/>
  <c r="AL2" i="1" l="1"/>
  <c r="AT15" i="1" l="1"/>
  <c r="AT19" i="1"/>
  <c r="AT18" i="1"/>
  <c r="AT17" i="1"/>
  <c r="AT8" i="1"/>
  <c r="AT10" i="1"/>
  <c r="AT7" i="1"/>
  <c r="AT13" i="1"/>
  <c r="AT11" i="1"/>
  <c r="AT6" i="1"/>
  <c r="AT14" i="1"/>
  <c r="AT5" i="1"/>
  <c r="AT9" i="1"/>
  <c r="AT16" i="1"/>
  <c r="AT12" i="1"/>
</calcChain>
</file>

<file path=xl/connections.xml><?xml version="1.0" encoding="utf-8"?>
<connections xmlns="http://schemas.openxmlformats.org/spreadsheetml/2006/main">
  <connection id="1" name="1317755739475482419-13_07_2311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2" name="1317755739475482419-13_07_23111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3" name="1317755739475482419-13_07_231111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4" name="1317755739475482419-13_07_2311111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5" name="1317755739475482419-13_07_2311113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6" name="1317755739475482419-13_07_23111131" type="6" refreshedVersion="6" background="1" saveData="1">
    <textPr codePage="850" sourceFile="D:\Documents\alpha_result\1317755739475482419-13_07_23.csv" decimal="," thousands=" " comma="1">
      <textFields count="5">
        <textField/>
        <textField type="text"/>
        <textField type="text"/>
        <textField/>
        <textField/>
      </textFields>
    </textPr>
  </connection>
  <connection id="7" name="16_06_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" name="16_06_2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" name="16_06_2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" name="16_06_221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" name="16_06_221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" name="16_06_221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" name="16_06_221114111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" name="16_06_221114111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" name="16_06_221114111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" name="16_06_221114111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" name="16_06_221114111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" name="16_06_221114111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" name="16_06_221114111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" name="16_06_221114111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" name="16_06_2211141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" name="16_06_221114111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" name="16_06_22111411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" name="16_06_221114111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" name="16_06_221114111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" name="16_06_221114111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" name="16_06_221114111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" name="16_06_221114111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" name="16_06_221114111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" name="16_06_221114111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" name="16_06_221114111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" name="16_06_221114111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" name="16_06_221114111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" name="16_06_221114111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" name="16_06_221114111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" name="16_06_2211141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" name="16_06_22111411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" name="16_06_2211141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" name="16_06_2211141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" name="16_06_2211141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" name="16_06_22111411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" name="16_06_22111411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" name="16_06_22111411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" name="16_06_22111411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" name="16_06_22111411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" name="16_06_22111411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" name="16_06_22111411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" name="16_06_2211141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" name="16_06_22111411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" name="16_06_2211141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" name="16_06_22111411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" name="16_06_22111411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" name="16_06_221114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" name="16_06_221114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" name="16_06_221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" name="16_06_22111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" name="16_06_2211141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" name="16_06_2211141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" name="16_06_2211141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" name="16_06_221114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" name="16_06_22111412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" name="16_06_221114122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" name="16_06_221114122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" name="16_06_221114122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" name="16_06_221114122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" name="16_06_221114122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" name="16_06_221114122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" name="16_06_2211141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" name="16_06_22111412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" name="16_06_2211141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" name="16_06_22111412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" name="16_06_221114122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" name="16_06_2211141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" name="16_06_2211141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" name="16_06_22111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" name="16_06_2211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" name="16_06_2211141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" name="16_06_22111413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" name="16_06_22111413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" name="16_06_2211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" name="16_06_22111413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" name="16_06_221114132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" name="16_06_221114132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" name="16_06_221114132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" name="16_06_221114132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" name="16_06_221114132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" name="16_06_221114132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" name="16_06_2211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" name="16_06_22111413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" name="16_06_2211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" name="16_06_22111413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" name="16_06_221114132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" name="16_06_221114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" name="16_06_221114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" name="16_06_22111416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" name="16_06_22111416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" name="16_06_22111416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" name="16_06_22111416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" name="16_06_22111416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" name="16_06_22111416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" name="16_06_22111416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" name="16_06_22111416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" name="16_06_221114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" name="16_06_22111416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" name="16_06_221114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" name="16_06_22111416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" name="16_06_22111416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" name="16_06_22111416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" name="16_06_22111416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" name="16_06_221114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" name="16_06_22111416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" name="16_06_22111416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" name="16_06_22111416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" name="16_06_22111416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" name="16_06_22111416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" name="16_06_22111416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" name="16_06_22111416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" name="16_06_221114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" name="16_06_22111416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" name="16_06_221114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" name="16_06_221114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" name="16_06_22111416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" name="16_06_22111417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" name="16_06_22111417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" name="16_06_22111417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" name="16_06_22111417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" name="16_06_22111417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" name="16_06_22111417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" name="16_06_22111417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" name="16_06_22111417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" name="16_06_2211141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" name="16_06_22111417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" name="16_06_22111417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" name="16_06_22111417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" name="16_06_22111417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" name="16_06_22111417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" name="16_06_22111417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" name="16_06_2211141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" name="16_06_22111417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" name="16_06_22111417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" name="16_06_22111417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" name="16_06_22111417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" name="16_06_2211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" name="16_06_2211142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" name="16_06_22111422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" name="16_06_2211142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" name="16_06_2211142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" name="16_06_22111422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" name="16_06_22111422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" name="16_06_22111422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" name="16_06_2211142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" name="16_06_22111423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" name="16_06_22111423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" name="16_06_22111423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" name="16_06_22111423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" name="16_06_22111423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" name="16_06_22111423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" name="16_06_22111423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" name="16_06_22111423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" name="16_06_22111423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" name="16_06_22111423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" name="16_06_22111423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" name="16_06_22111423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" name="16_06_22111423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" name="16_06_22111423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" name="16_06_2211142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" name="16_06_22111423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" name="16_06_2211142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" name="16_06_22111423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" name="16_06_22111423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" name="16_06_221114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" name="16_06_221114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" name="16_06_2211142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" name="16_06_2211142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" name="16_06_22111424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" name="16_06_22111424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" name="16_06_2211142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" name="16_06_22111424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" name="16_06_22111424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" name="16_06_22111424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" name="16_06_221114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" name="16_06_22111424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" name="16_06_22111424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" name="16_06_2211142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" name="16_06_22111424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" name="16_06_22111424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" name="16_06_2211142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" name="16_06_221114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" name="16_06_2211142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" name="16_06_221114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" name="16_06_221114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" name="16_06_22111428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" name="16_06_2211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" name="16_06_221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" name="16_06_2211144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" name="16_06_2211144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" name="16_06_2211144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" name="16_06_2211144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" name="16_06_2211144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" name="16_06_2211144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" name="16_06_2211144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" name="16_06_2211144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" name="16_06_2211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" name="16_06_2211144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" name="16_06_221114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" name="16_06_2211144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" name="16_06_2211144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" name="16_06_2211144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" name="16_06_2211144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" name="16_06_221114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" name="16_06_2211144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" name="16_06_2211144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" name="16_06_2211144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" name="16_06_2211144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" name="16_06_2211144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" name="16_06_2211144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" name="16_06_2211144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" name="16_06_2211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" name="16_06_2211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" name="16_06_221114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" name="16_06_221114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" name="16_06_221114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" name="16_06_2211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" name="16_06_221114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" name="16_06_221114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" name="16_06_221114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" name="16_06_2211146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" name="16_06_2211146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" name="16_06_2211146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" name="16_06_2211146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" name="16_06_2211146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" name="16_06_221114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" name="16_06_221114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" name="16_06_221114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" name="16_06_221114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" name="16_06_221114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" name="16_06_2211146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" name="16_06_221114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" name="16_06_221114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" name="16_06_221210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" name="16_06_221210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" name="16_06_221210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" name="16_06_221210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" name="16_06_221210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" name="16_06_221210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" name="16_06_221210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" name="16_06_221210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" name="16_06_221210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" name="16_06_221210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" name="16_06_221210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" name="16_06_221210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" name="16_06_221210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" name="16_06_221210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" name="16_06_221210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" name="16_06_221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" name="16_06_221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" name="16_06_221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" name="16_06_221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" name="16_06_221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" name="16_06_2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" name="16_06_221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" name="16_06_221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" name="16_06_2212221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" name="16_06_2212221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" name="16_06_2212221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" name="16_06_2212221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" name="16_06_2212221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" name="16_06_2212221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" name="16_06_2212221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" name="16_06_221222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" name="16_06_221222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" name="16_06_221222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" name="16_06_221222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" name="16_06_221222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" name="16_06_2212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" name="16_06_2212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" name="16_06_221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" name="16_06_2212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" name="16_06_22122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" name="16_06_2212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" name="16_06_2212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" name="16_06_221228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" name="16_06_221228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" name="16_06_221228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" name="16_06_221228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" name="16_06_221228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" name="16_06_22122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" name="16_06_22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" name="16_06_22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" name="16_06_2212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" name="16_06_22123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" name="16_06_22123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" name="16_06_221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" name="16_06_22123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" name="16_06_221232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" name="16_06_221232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" name="16_06_221232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" name="16_06_221232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" name="16_06_221232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" name="16_06_221232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" name="16_06_221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" name="16_06_22123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" name="16_06_221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" name="16_06_22123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" name="16_06_221232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" name="16_06_2212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" name="16_06_2212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" name="16_06_221241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" name="16_06_221241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" name="16_06_221241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" name="16_06_221241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" name="16_06_221241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" name="16_06_221241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" name="16_06_221241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" name="16_06_221241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" name="16_06_22124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" name="16_06_221241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" name="16_06_22124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" name="16_06_221241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" name="16_06_221241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" name="16_06_221241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" name="16_06_221241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" name="16_06_221241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" name="16_06_221241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" name="16_06_221241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" name="16_06_221241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" name="16_06_221241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" name="16_06_221241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" name="16_06_221241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" name="16_06_221241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" name="16_06_22124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" name="16_06_22124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" name="16_06_2212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" name="16_06_22124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" name="16_06_2212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" name="16_06_2212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" name="16_06_22124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" name="16_06_22124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" name="16_06_22124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" name="16_06_22124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" name="16_06_22124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" name="16_06_22124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" name="16_06_2212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" name="16_06_2212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" name="16_06_2212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" name="16_06_22124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" name="16_06_22124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" name="16_06_221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" name="16_06_221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" name="16_06_22127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" name="16_06_22127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" name="16_06_22127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" name="16_06_22127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" name="16_06_22127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" name="16_06_22127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" name="16_06_22127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" name="16_06_22127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" name="16_06_2212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" name="16_06_22127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" name="16_06_22127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" name="16_06_22127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" name="16_06_22127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" name="16_06_22127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" name="16_06_22127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" name="16_06_22127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" name="16_06_22127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" name="16_06_22127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" name="16_06_22127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" name="16_06_22127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" name="16_06_22127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" name="16_06_22127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" name="16_06_22127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" name="16_06_22127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" name="16_06_22127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" name="16_06_22127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" name="16_06_22127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" name="16_06_22127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" name="16_06_22128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" name="16_06_22128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" name="16_06_22128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" name="16_06_22128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" name="16_06_22128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" name="16_06_22128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" name="16_06_22128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" name="16_06_22128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" name="16_06_22128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" name="16_06_22128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" name="16_06_22128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" name="16_06_22128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" name="16_06_22128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" name="16_06_22128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" name="16_06_22128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" name="16_06_22128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" name="16_06_22128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" name="16_06_22128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" name="16_06_22128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" name="16_06_22128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" name="16_06_22128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" name="16_06_22128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" name="16_06_22129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" name="16_06_22129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" name="16_06_22129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" name="16_06_22129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" name="16_06_22129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" name="16_06_22129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" name="16_06_22129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" name="16_06_22129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" name="16_06_22129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" name="16_06_22129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" name="16_06_22129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" name="16_06_22129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" name="16_06_22129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" name="16_06_22129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" name="16_06_22129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" name="16_06_22129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" name="16_06_22129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" name="16_06_22129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" name="16_06_22129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" name="16_06_22129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" name="16_06_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" name="16_06_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" name="16_06_2214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" name="16_06_2214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" name="16_06_2214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" name="16_06_2214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" name="16_06_2214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" name="16_06_2214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" name="16_06_2214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" name="16_06_2214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" name="16_06_2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" name="16_06_2214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" name="16_06_22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" name="16_06_2214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" name="16_06_2214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" name="16_06_2214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" name="16_06_2214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" name="16_06_22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" name="16_06_2214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" name="16_06_2214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" name="16_06_2214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" name="16_06_2214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" name="16_06_2214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" name="16_06_2214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" name="16_06_2214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" name="16_06_2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" name="16_06_22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" name="16_06_2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" name="16_06_2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" name="16_06_22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" name="16_06_2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" name="16_06_22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" name="16_06_22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" name="16_06_2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" name="16_06_2216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" name="16_06_2216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" name="16_06_2216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" name="16_06_2216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" name="16_06_2216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" name="16_06_22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" name="16_06_2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" name="16_06_22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" name="16_06_2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" name="16_06_2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" name="16_06_2216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" name="16_06_2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" name="16_06_221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<sst xmlns="http://schemas.openxmlformats.org/spreadsheetml/2006/main" count="4981" uniqueCount="1057">
  <si>
    <t>N° ordre brebis</t>
  </si>
  <si>
    <t>Jour + Heure début</t>
  </si>
  <si>
    <t>Jour + Heure fin</t>
  </si>
  <si>
    <t>Début chaleur + 35h (en h)</t>
  </si>
  <si>
    <t>Durée chaleur (h)</t>
  </si>
  <si>
    <t>Durée chaleur corrigée (h)</t>
  </si>
  <si>
    <t>Nb Chev cumules</t>
  </si>
  <si>
    <t>Suivi chaleur - IA</t>
  </si>
  <si>
    <t>Nbre Agneaux</t>
  </si>
  <si>
    <t>Date agnelage</t>
  </si>
  <si>
    <t>Date theorique agnelage</t>
  </si>
  <si>
    <t>Cible 1er cycle</t>
  </si>
  <si>
    <t>Durée gesta</t>
  </si>
  <si>
    <t>IA</t>
  </si>
  <si>
    <t>Date IA</t>
  </si>
  <si>
    <t>Heure IA</t>
  </si>
  <si>
    <t>Bélier IA</t>
  </si>
  <si>
    <t>Intervalle Debut chaleur-IA</t>
  </si>
  <si>
    <t>Intervalle IA-Echo</t>
  </si>
  <si>
    <t>Stade</t>
  </si>
  <si>
    <t>Stade Cor Agnelage</t>
  </si>
  <si>
    <t>Pas vue Alpha</t>
  </si>
  <si>
    <t>Observations</t>
  </si>
  <si>
    <t>Date naissance</t>
  </si>
  <si>
    <t xml:space="preserve">Mise bas </t>
  </si>
  <si>
    <t>L</t>
  </si>
  <si>
    <t>M</t>
  </si>
  <si>
    <t>J</t>
  </si>
  <si>
    <t>V</t>
  </si>
  <si>
    <t>S</t>
  </si>
  <si>
    <t>D</t>
  </si>
  <si>
    <t>Pose Eponges</t>
  </si>
  <si>
    <t>Suivi chaleurs</t>
  </si>
  <si>
    <t>Béliers retour</t>
  </si>
  <si>
    <t>Echographie</t>
  </si>
  <si>
    <t>Retrait éponges</t>
  </si>
  <si>
    <t>Pose éponges</t>
  </si>
  <si>
    <t>Intro bélier</t>
  </si>
  <si>
    <t>Intro Bélier retour</t>
  </si>
  <si>
    <t>Fin Suivi chaleur</t>
  </si>
  <si>
    <t>Retrait Bélier retour</t>
  </si>
  <si>
    <t>Béliers</t>
  </si>
  <si>
    <t>Harnais</t>
  </si>
  <si>
    <t>Housse</t>
  </si>
  <si>
    <t>IA si début des chaleurs entre 0 et 35 avant le moment de l'IA et au moins 3ch</t>
  </si>
  <si>
    <t>Jour</t>
  </si>
  <si>
    <t>Heure</t>
  </si>
  <si>
    <t>Bélier</t>
  </si>
  <si>
    <t>Début chaleur/retrait éponges (h)</t>
  </si>
  <si>
    <t>Toutes</t>
  </si>
  <si>
    <t>Dans la cible</t>
  </si>
  <si>
    <t>Hors cibles</t>
  </si>
  <si>
    <t>ou pas vues</t>
  </si>
  <si>
    <t>Pleines</t>
  </si>
  <si>
    <t>Vides</t>
  </si>
  <si>
    <t>Interv MB-EM (jours)</t>
  </si>
  <si>
    <t>NEC 1</t>
  </si>
  <si>
    <t>NEC 2</t>
  </si>
  <si>
    <t>FGA et Effet mâle</t>
  </si>
  <si>
    <t xml:space="preserve">Suivi chaleurs </t>
  </si>
  <si>
    <t>N° travail</t>
  </si>
  <si>
    <t>N° Glasstag</t>
  </si>
  <si>
    <t>Lot Effet mâle</t>
  </si>
  <si>
    <t>N</t>
  </si>
  <si>
    <t xml:space="preserve"> ID</t>
  </si>
  <si>
    <t>Alpha</t>
  </si>
  <si>
    <t xml:space="preserve"> TAG</t>
  </si>
  <si>
    <t xml:space="preserve"> DATE (dd_mm_yyyy)</t>
  </si>
  <si>
    <t xml:space="preserve"> TIME</t>
  </si>
  <si>
    <t>2ème Echo</t>
  </si>
  <si>
    <t>num officiel</t>
  </si>
  <si>
    <t>Pose tags + Retrait éponges + intro 3 béliers avec détecteur</t>
  </si>
  <si>
    <t>Suivi chaleurs + IA</t>
  </si>
  <si>
    <t>à 15h00</t>
  </si>
  <si>
    <t>C1</t>
  </si>
  <si>
    <t>N° W</t>
  </si>
  <si>
    <t>Lot</t>
  </si>
  <si>
    <t>à 8h10</t>
  </si>
  <si>
    <t>Nb agneaux</t>
  </si>
  <si>
    <t>NEC 3</t>
  </si>
  <si>
    <t>num</t>
  </si>
  <si>
    <t>Alpha C1</t>
  </si>
  <si>
    <t>00:14:31</t>
  </si>
  <si>
    <t>12:18:17</t>
  </si>
  <si>
    <t>IA à 55h</t>
  </si>
  <si>
    <t>IA à 60h</t>
  </si>
  <si>
    <t>48 brebis</t>
  </si>
  <si>
    <t>FGA + PMSG</t>
  </si>
  <si>
    <t>La Fage</t>
  </si>
  <si>
    <t>Retrait éponges + PMSG</t>
  </si>
  <si>
    <t xml:space="preserve"> IA</t>
  </si>
  <si>
    <t>Manip FGA et Effet mâle - La Fage 2023</t>
  </si>
  <si>
    <t>Béliers Lacaune Lait entierséquipés de tabliers pour epmécher la saillie et de détecteurs ovimate</t>
  </si>
  <si>
    <t>IA 55h à 15h00 le 06/07/23</t>
  </si>
  <si>
    <t>Début des chaleurs à partir de 4h00 le 05/07/23</t>
  </si>
  <si>
    <t>Si IA à 53h à 13h00 le 06/07/23</t>
  </si>
  <si>
    <t>Si IA à 60h à 20h00 le 06/07/23</t>
  </si>
  <si>
    <t>Début des chaleurs à partir de 2h00 le 05/07/23</t>
  </si>
  <si>
    <t>Début des chaleurs à partir de 9h00 le 05/07/23</t>
  </si>
  <si>
    <t>SOCS2</t>
  </si>
  <si>
    <t>PERE</t>
  </si>
  <si>
    <t>C    C</t>
  </si>
  <si>
    <t>aa</t>
  </si>
  <si>
    <t>ab</t>
  </si>
  <si>
    <t>ac</t>
  </si>
  <si>
    <t>ba</t>
  </si>
  <si>
    <t>ca</t>
  </si>
  <si>
    <t>cb</t>
  </si>
  <si>
    <t>da</t>
  </si>
  <si>
    <t>db</t>
  </si>
  <si>
    <t>C    T</t>
  </si>
  <si>
    <t>ea</t>
  </si>
  <si>
    <t>eb</t>
  </si>
  <si>
    <t>fa</t>
  </si>
  <si>
    <t>fb</t>
  </si>
  <si>
    <t>ga</t>
  </si>
  <si>
    <t>gb</t>
  </si>
  <si>
    <t>gc</t>
  </si>
  <si>
    <t>ha</t>
  </si>
  <si>
    <t>hb</t>
  </si>
  <si>
    <t>ia</t>
  </si>
  <si>
    <t>ib</t>
  </si>
  <si>
    <t>sa</t>
  </si>
  <si>
    <t>sb</t>
  </si>
  <si>
    <t>sc</t>
  </si>
  <si>
    <t>ta</t>
  </si>
  <si>
    <t>tb</t>
  </si>
  <si>
    <t>tc</t>
  </si>
  <si>
    <t>td</t>
  </si>
  <si>
    <t>ua</t>
  </si>
  <si>
    <t>ub</t>
  </si>
  <si>
    <t>va</t>
  </si>
  <si>
    <t>vb</t>
  </si>
  <si>
    <t>vc</t>
  </si>
  <si>
    <t>wa</t>
  </si>
  <si>
    <t>wb</t>
  </si>
  <si>
    <t>wc</t>
  </si>
  <si>
    <t>wd</t>
  </si>
  <si>
    <t>xa</t>
  </si>
  <si>
    <t>xb</t>
  </si>
  <si>
    <t>xc</t>
  </si>
  <si>
    <t>xd</t>
  </si>
  <si>
    <t>xe</t>
  </si>
  <si>
    <t>ya</t>
  </si>
  <si>
    <t>yb</t>
  </si>
  <si>
    <t>yc</t>
  </si>
  <si>
    <t>za</t>
  </si>
  <si>
    <t>zb</t>
  </si>
  <si>
    <t>zc</t>
  </si>
  <si>
    <t>zd</t>
  </si>
  <si>
    <t>ze</t>
  </si>
  <si>
    <t>Pesée 1</t>
  </si>
  <si>
    <t>Pesée 2</t>
  </si>
  <si>
    <t>Pesée 3</t>
  </si>
  <si>
    <t>Pesée + NEC</t>
  </si>
  <si>
    <t>Echographies + pesée + NEC</t>
  </si>
  <si>
    <t>Production  2022</t>
  </si>
  <si>
    <t>Durée traite 2022</t>
  </si>
  <si>
    <t>Production  2023</t>
  </si>
  <si>
    <t>Production laitière</t>
  </si>
  <si>
    <t>no_lact 2023</t>
  </si>
  <si>
    <t>stade clo7</t>
  </si>
  <si>
    <t>qltc clo7</t>
  </si>
  <si>
    <t>à 7h20</t>
  </si>
  <si>
    <t>jusqu'au 06/07/23 à 9h30</t>
  </si>
  <si>
    <t>à partir du 06/07/23 à 9h30</t>
  </si>
  <si>
    <t>Grise</t>
  </si>
  <si>
    <t>côté cour</t>
  </si>
  <si>
    <t>Tablier 1</t>
  </si>
  <si>
    <t>Tablier 2</t>
  </si>
  <si>
    <t xml:space="preserve"> Tablier 3</t>
  </si>
  <si>
    <t xml:space="preserve"> Tablier 4</t>
  </si>
  <si>
    <t>côté bergerie</t>
  </si>
  <si>
    <t>beige</t>
  </si>
  <si>
    <t>rouge</t>
  </si>
  <si>
    <t>orange</t>
  </si>
  <si>
    <t>N° animal</t>
  </si>
  <si>
    <t>N°Transpondeur</t>
  </si>
  <si>
    <t>016286823223</t>
  </si>
  <si>
    <t>016286802290</t>
  </si>
  <si>
    <t>035122144574</t>
  </si>
  <si>
    <t>N° brebis</t>
  </si>
  <si>
    <t>Jour + Heure</t>
  </si>
  <si>
    <t>Nb Chev Cumulés Bélier</t>
  </si>
  <si>
    <t>ID-1317755739475482419</t>
  </si>
  <si>
    <t>155000025283</t>
  </si>
  <si>
    <t>06 07 2023  10:21:05</t>
  </si>
  <si>
    <t>10:21:05</t>
  </si>
  <si>
    <t>06 07 2023  10:21:07</t>
  </si>
  <si>
    <t>10:21:07</t>
  </si>
  <si>
    <t>06 07 2023  10:21:19</t>
  </si>
  <si>
    <t>10:21:19</t>
  </si>
  <si>
    <t>06 07 2023  10:21:21</t>
  </si>
  <si>
    <t>10:21:21</t>
  </si>
  <si>
    <t>155000025367</t>
  </si>
  <si>
    <t>06 07 2023  10:22:45</t>
  </si>
  <si>
    <t>10:22:45</t>
  </si>
  <si>
    <t>06 07 2023  10:22:46</t>
  </si>
  <si>
    <t>10:22:46</t>
  </si>
  <si>
    <t>06 07 2023  10:22:49</t>
  </si>
  <si>
    <t>10:22:49</t>
  </si>
  <si>
    <t>06 07 2023  10:22:51</t>
  </si>
  <si>
    <t>10:22:51</t>
  </si>
  <si>
    <t>06 07 2023  10:22:59</t>
  </si>
  <si>
    <t>10:22:59</t>
  </si>
  <si>
    <t>06 07 2023  10:23:03</t>
  </si>
  <si>
    <t>10:23:03</t>
  </si>
  <si>
    <t>06 07 2023  10:23:10</t>
  </si>
  <si>
    <t>10:23:10</t>
  </si>
  <si>
    <t>155000025923</t>
  </si>
  <si>
    <t>06 07 2023  16:31:47</t>
  </si>
  <si>
    <t>16:31:47</t>
  </si>
  <si>
    <t>06 07 2023  16:34:02</t>
  </si>
  <si>
    <t>16:34:02</t>
  </si>
  <si>
    <t>155000025757</t>
  </si>
  <si>
    <t>06 07 2023  17:12:04</t>
  </si>
  <si>
    <t>17:12:04</t>
  </si>
  <si>
    <t>06 07 2023  17:12:05</t>
  </si>
  <si>
    <t>17:12:05</t>
  </si>
  <si>
    <t>06 07 2023  17:24:33</t>
  </si>
  <si>
    <t>17:24:33</t>
  </si>
  <si>
    <t>06 07 2023  17:25:54</t>
  </si>
  <si>
    <t>17:25:54</t>
  </si>
  <si>
    <t>06 07 2023  17:25:56</t>
  </si>
  <si>
    <t>17:25:56</t>
  </si>
  <si>
    <t>06 07 2023  18:31:41</t>
  </si>
  <si>
    <t>18:31:41</t>
  </si>
  <si>
    <t>06 07 2023  18:31:57</t>
  </si>
  <si>
    <t>18:31:57</t>
  </si>
  <si>
    <t>155000025167</t>
  </si>
  <si>
    <t>06 07 2023  22:29:19</t>
  </si>
  <si>
    <t>22:29:19</t>
  </si>
  <si>
    <t>155000025800</t>
  </si>
  <si>
    <t>06 07 2023  22:42:47</t>
  </si>
  <si>
    <t>22:42:47</t>
  </si>
  <si>
    <t>06 07 2023  23:12:46</t>
  </si>
  <si>
    <t>23:12:46</t>
  </si>
  <si>
    <t>06 07 2023  23:14:47</t>
  </si>
  <si>
    <t>23:14:47</t>
  </si>
  <si>
    <t>06 07 2023  23:47:48</t>
  </si>
  <si>
    <t>23:47:48</t>
  </si>
  <si>
    <t>155000025801</t>
  </si>
  <si>
    <t>06 07 2023  23:54:00</t>
  </si>
  <si>
    <t>23:54:00</t>
  </si>
  <si>
    <t>155000026012</t>
  </si>
  <si>
    <t>07 07 2023  00:09:59</t>
  </si>
  <si>
    <t>00:09:59</t>
  </si>
  <si>
    <t>07 07 2023  00:10:04</t>
  </si>
  <si>
    <t>00:10:04</t>
  </si>
  <si>
    <t>155000025916</t>
  </si>
  <si>
    <t>07 07 2023  00:11:15</t>
  </si>
  <si>
    <t>00:11:15</t>
  </si>
  <si>
    <t>07 07 2023  00:11:17</t>
  </si>
  <si>
    <t>00:11:17</t>
  </si>
  <si>
    <t>155000025094</t>
  </si>
  <si>
    <t>07 07 2023  00:12:40</t>
  </si>
  <si>
    <t>00:12:40</t>
  </si>
  <si>
    <t>155000025656</t>
  </si>
  <si>
    <t>07 07 2023  00:16:34</t>
  </si>
  <si>
    <t>00:16:34</t>
  </si>
  <si>
    <t>07 07 2023  00:17:43</t>
  </si>
  <si>
    <t>00:17:43</t>
  </si>
  <si>
    <t>07 07 2023  00:17:46</t>
  </si>
  <si>
    <t>00:17:46</t>
  </si>
  <si>
    <t>07 07 2023  01:20:44</t>
  </si>
  <si>
    <t>01:20:44</t>
  </si>
  <si>
    <t>155000025392</t>
  </si>
  <si>
    <t>07 07 2023  01:30:15</t>
  </si>
  <si>
    <t>01:30:15</t>
  </si>
  <si>
    <t>07 07 2023  01:34:10</t>
  </si>
  <si>
    <t>01:34:10</t>
  </si>
  <si>
    <t>07 07 2023  02:31:50</t>
  </si>
  <si>
    <t>02:31:50</t>
  </si>
  <si>
    <t>155000025368</t>
  </si>
  <si>
    <t>07 07 2023  03:07:16</t>
  </si>
  <si>
    <t>03:07:16</t>
  </si>
  <si>
    <t>07 07 2023  03:08:59</t>
  </si>
  <si>
    <t>03:08:59</t>
  </si>
  <si>
    <t>07 07 2023  03:09:03</t>
  </si>
  <si>
    <t>03:09:03</t>
  </si>
  <si>
    <t>07 07 2023  03:30:20</t>
  </si>
  <si>
    <t>03:30:20</t>
  </si>
  <si>
    <t>07 07 2023  03:36:59</t>
  </si>
  <si>
    <t>03:36:59</t>
  </si>
  <si>
    <t>07 07 2023  03:38:10</t>
  </si>
  <si>
    <t>03:38:10</t>
  </si>
  <si>
    <t>07 07 2023  03:38:12</t>
  </si>
  <si>
    <t>03:38:12</t>
  </si>
  <si>
    <t>07 07 2023  03:39:29</t>
  </si>
  <si>
    <t>03:39:29</t>
  </si>
  <si>
    <t>07 07 2023  03:40:40</t>
  </si>
  <si>
    <t>03:40:40</t>
  </si>
  <si>
    <t>07 07 2023  03:42:17</t>
  </si>
  <si>
    <t>03:42:17</t>
  </si>
  <si>
    <t>07 07 2023  03:42:19</t>
  </si>
  <si>
    <t>03:42:19</t>
  </si>
  <si>
    <t>07 07 2023  03:43:49</t>
  </si>
  <si>
    <t>03:43:49</t>
  </si>
  <si>
    <t>07 07 2023  03:46:45</t>
  </si>
  <si>
    <t>03:46:45</t>
  </si>
  <si>
    <t>07 07 2023  03:50:14</t>
  </si>
  <si>
    <t>03:50:14</t>
  </si>
  <si>
    <t>07 07 2023  03:53:51</t>
  </si>
  <si>
    <t>03:53:51</t>
  </si>
  <si>
    <t>07 07 2023  03:54:51</t>
  </si>
  <si>
    <t>03:54:51</t>
  </si>
  <si>
    <t>07 07 2023  03:55:28</t>
  </si>
  <si>
    <t>03:55:28</t>
  </si>
  <si>
    <t>07 07 2023  04:26:38</t>
  </si>
  <si>
    <t>04:26:38</t>
  </si>
  <si>
    <t>07 07 2023  12:23:02</t>
  </si>
  <si>
    <t>12:23:02</t>
  </si>
  <si>
    <t>07 07 2023  15:28:55</t>
  </si>
  <si>
    <t>15:28:55</t>
  </si>
  <si>
    <t>07 07 2023  15:29:28</t>
  </si>
  <si>
    <t>15:29:28</t>
  </si>
  <si>
    <t>07 07 2023  15:29:48</t>
  </si>
  <si>
    <t>15:29:48</t>
  </si>
  <si>
    <t>07 07 2023  15:29:55</t>
  </si>
  <si>
    <t>15:29:55</t>
  </si>
  <si>
    <t>07 07 2023  15:30:43</t>
  </si>
  <si>
    <t>15:30:43</t>
  </si>
  <si>
    <t>07 07 2023  15:30:44</t>
  </si>
  <si>
    <t>15:30:44</t>
  </si>
  <si>
    <t>07 07 2023  15:31:22</t>
  </si>
  <si>
    <t>15:31:22</t>
  </si>
  <si>
    <t>07 07 2023  15:31:40</t>
  </si>
  <si>
    <t>15:31:40</t>
  </si>
  <si>
    <t>07 07 2023  15:32:03</t>
  </si>
  <si>
    <t>15:32:03</t>
  </si>
  <si>
    <t>07 07 2023  15:32:39</t>
  </si>
  <si>
    <t>15:32:39</t>
  </si>
  <si>
    <t>07 07 2023  15:32:41</t>
  </si>
  <si>
    <t>15:32:41</t>
  </si>
  <si>
    <t>07 07 2023  15:32:57</t>
  </si>
  <si>
    <t>15:32:57</t>
  </si>
  <si>
    <t>07 07 2023  15:33:35</t>
  </si>
  <si>
    <t>15:33:35</t>
  </si>
  <si>
    <t>07 07 2023  15:33:49</t>
  </si>
  <si>
    <t>15:33:49</t>
  </si>
  <si>
    <t>07 07 2023  15:34:50</t>
  </si>
  <si>
    <t>15:34:50</t>
  </si>
  <si>
    <t>07 07 2023  15:34:57</t>
  </si>
  <si>
    <t>15:34:57</t>
  </si>
  <si>
    <t>155000025031</t>
  </si>
  <si>
    <t>07 07 2023  16:04:08</t>
  </si>
  <si>
    <t>16:04:08</t>
  </si>
  <si>
    <t>155000025312</t>
  </si>
  <si>
    <t>07 07 2023  17:50:59</t>
  </si>
  <si>
    <t>17:50:59</t>
  </si>
  <si>
    <t>155000025417</t>
  </si>
  <si>
    <t>07 07 2023  18:19:36</t>
  </si>
  <si>
    <t>18:19:36</t>
  </si>
  <si>
    <t>155000025376</t>
  </si>
  <si>
    <t>08 07 2023  03:22:16</t>
  </si>
  <si>
    <t>03:22:16</t>
  </si>
  <si>
    <t>ID-1460541931523878688</t>
  </si>
  <si>
    <t>Alpha 16</t>
  </si>
  <si>
    <t>04 07 2023  08:20:26</t>
  </si>
  <si>
    <t>08:20:26</t>
  </si>
  <si>
    <t>04 07 2023  08:35:30</t>
  </si>
  <si>
    <t>08:35:30</t>
  </si>
  <si>
    <t>05 07 2023  06:47:52</t>
  </si>
  <si>
    <t>06:47:52</t>
  </si>
  <si>
    <t>05 07 2023  06:49:05</t>
  </si>
  <si>
    <t>06:49:05</t>
  </si>
  <si>
    <t>05 07 2023  06:49:30</t>
  </si>
  <si>
    <t>06:49:30</t>
  </si>
  <si>
    <t>05 07 2023  06:49:47</t>
  </si>
  <si>
    <t>06:49:47</t>
  </si>
  <si>
    <t>05 07 2023  06:50:09</t>
  </si>
  <si>
    <t>06:50:09</t>
  </si>
  <si>
    <t>05 07 2023  06:50:40</t>
  </si>
  <si>
    <t>06:50:40</t>
  </si>
  <si>
    <t>05 07 2023  06:51:15</t>
  </si>
  <si>
    <t>06:51:15</t>
  </si>
  <si>
    <t>05 07 2023  06:51:45</t>
  </si>
  <si>
    <t>06:51:45</t>
  </si>
  <si>
    <t>05 07 2023  06:52:46</t>
  </si>
  <si>
    <t>06:52:46</t>
  </si>
  <si>
    <t>05 07 2023  06:52:48</t>
  </si>
  <si>
    <t>06:52:48</t>
  </si>
  <si>
    <t>05 07 2023  06:54:17</t>
  </si>
  <si>
    <t>06:54:17</t>
  </si>
  <si>
    <t>05 07 2023  06:54:51</t>
  </si>
  <si>
    <t>06:54:51</t>
  </si>
  <si>
    <t>05 07 2023  07:01:24</t>
  </si>
  <si>
    <t>07:01:24</t>
  </si>
  <si>
    <t>05 07 2023  07:05:17</t>
  </si>
  <si>
    <t>07:05:17</t>
  </si>
  <si>
    <t>05 07 2023  07:46:15</t>
  </si>
  <si>
    <t>07:46:15</t>
  </si>
  <si>
    <t>05 07 2023  07:46:31</t>
  </si>
  <si>
    <t>07:46:31</t>
  </si>
  <si>
    <t>05 07 2023  07:46:47</t>
  </si>
  <si>
    <t>07:46:47</t>
  </si>
  <si>
    <t>05 07 2023  07:47:03</t>
  </si>
  <si>
    <t>07:47:03</t>
  </si>
  <si>
    <t>05 07 2023  07:47:18</t>
  </si>
  <si>
    <t>07:47:18</t>
  </si>
  <si>
    <t>05 07 2023  07:48:01</t>
  </si>
  <si>
    <t>07:48:01</t>
  </si>
  <si>
    <t>05 07 2023  07:48:03</t>
  </si>
  <si>
    <t>07:48:03</t>
  </si>
  <si>
    <t>05 07 2023  07:48:26</t>
  </si>
  <si>
    <t>07:48:26</t>
  </si>
  <si>
    <t>05 07 2023  07:48:28</t>
  </si>
  <si>
    <t>07:48:28</t>
  </si>
  <si>
    <t>05 07 2023  07:49:28</t>
  </si>
  <si>
    <t>07:49:28</t>
  </si>
  <si>
    <t>05 07 2023  07:52:09</t>
  </si>
  <si>
    <t>07:52:09</t>
  </si>
  <si>
    <t>05 07 2023  07:52:44</t>
  </si>
  <si>
    <t>07:52:44</t>
  </si>
  <si>
    <t>05 07 2023  07:53:28</t>
  </si>
  <si>
    <t>07:53:28</t>
  </si>
  <si>
    <t>05 07 2023  07:54:06</t>
  </si>
  <si>
    <t>07:54:06</t>
  </si>
  <si>
    <t>05 07 2023  07:54:29</t>
  </si>
  <si>
    <t>07:54:29</t>
  </si>
  <si>
    <t>05 07 2023  07:55:09</t>
  </si>
  <si>
    <t>07:55:09</t>
  </si>
  <si>
    <t>05 07 2023  07:57:09</t>
  </si>
  <si>
    <t>07:57:09</t>
  </si>
  <si>
    <t>05 07 2023  07:58:42</t>
  </si>
  <si>
    <t>07:58:42</t>
  </si>
  <si>
    <t>05 07 2023  07:59:26</t>
  </si>
  <si>
    <t>07:59:26</t>
  </si>
  <si>
    <t>05 07 2023  08:00:06</t>
  </si>
  <si>
    <t>08:00:06</t>
  </si>
  <si>
    <t>05 07 2023  08:01:54</t>
  </si>
  <si>
    <t>08:01:54</t>
  </si>
  <si>
    <t>05 07 2023  08:02:22</t>
  </si>
  <si>
    <t>08:02:22</t>
  </si>
  <si>
    <t>05 07 2023  08:04:37</t>
  </si>
  <si>
    <t>08:04:37</t>
  </si>
  <si>
    <t>05 07 2023  08:05:17</t>
  </si>
  <si>
    <t>08:05:17</t>
  </si>
  <si>
    <t>05 07 2023  09:30:09</t>
  </si>
  <si>
    <t>09:30:09</t>
  </si>
  <si>
    <t>05 07 2023  09:34:14</t>
  </si>
  <si>
    <t>09:34:14</t>
  </si>
  <si>
    <t>05 07 2023  09:36:24</t>
  </si>
  <si>
    <t>09:36:24</t>
  </si>
  <si>
    <t>05 07 2023  09:36:25</t>
  </si>
  <si>
    <t>09:36:25</t>
  </si>
  <si>
    <t>05 07 2023  09:37:27</t>
  </si>
  <si>
    <t>09:37:27</t>
  </si>
  <si>
    <t>05 07 2023  09:41:14</t>
  </si>
  <si>
    <t>09:41:14</t>
  </si>
  <si>
    <t>05 07 2023  09:45:05</t>
  </si>
  <si>
    <t>09:45:05</t>
  </si>
  <si>
    <t>05 07 2023  09:45:07</t>
  </si>
  <si>
    <t>09:45:07</t>
  </si>
  <si>
    <t>05 07 2023  09:46:02</t>
  </si>
  <si>
    <t>09:46:02</t>
  </si>
  <si>
    <t>05 07 2023  09:46:26</t>
  </si>
  <si>
    <t>09:46:26</t>
  </si>
  <si>
    <t>05 07 2023  09:55:20</t>
  </si>
  <si>
    <t>09:55:20</t>
  </si>
  <si>
    <t>05 07 2023  14:22:39</t>
  </si>
  <si>
    <t>14:22:39</t>
  </si>
  <si>
    <t>05 07 2023  14:24:21</t>
  </si>
  <si>
    <t>14:24:21</t>
  </si>
  <si>
    <t>05 07 2023  14:26:41</t>
  </si>
  <si>
    <t>14:26:41</t>
  </si>
  <si>
    <t>05 07 2023  14:28:20</t>
  </si>
  <si>
    <t>14:28:20</t>
  </si>
  <si>
    <t>05 07 2023  14:28:58</t>
  </si>
  <si>
    <t>14:28:58</t>
  </si>
  <si>
    <t>155000025845</t>
  </si>
  <si>
    <t>05 07 2023  18:30:17</t>
  </si>
  <si>
    <t>18:30:17</t>
  </si>
  <si>
    <t>05 07 2023  18:30:43</t>
  </si>
  <si>
    <t>18:30:43</t>
  </si>
  <si>
    <t>05 07 2023  18:32:35</t>
  </si>
  <si>
    <t>18:32:35</t>
  </si>
  <si>
    <t>05 07 2023  18:37:26</t>
  </si>
  <si>
    <t>18:37:26</t>
  </si>
  <si>
    <t>05 07 2023  23:40:00</t>
  </si>
  <si>
    <t>23:40:00</t>
  </si>
  <si>
    <t>06 07 2023  00:33:21</t>
  </si>
  <si>
    <t>00:33:21</t>
  </si>
  <si>
    <t>06 07 2023  13:24:53</t>
  </si>
  <si>
    <t>13:24:53</t>
  </si>
  <si>
    <t>06 07 2023  13:25:03</t>
  </si>
  <si>
    <t>13:25:03</t>
  </si>
  <si>
    <t>155000025486</t>
  </si>
  <si>
    <t>06 07 2023  13:25:43</t>
  </si>
  <si>
    <t>13:25:43</t>
  </si>
  <si>
    <t>06 07 2023  14:41:09</t>
  </si>
  <si>
    <t>14:41:09</t>
  </si>
  <si>
    <t>06 07 2023  16:33:21</t>
  </si>
  <si>
    <t>16:33:21</t>
  </si>
  <si>
    <t>06 07 2023  16:42:37</t>
  </si>
  <si>
    <t>16:42:37</t>
  </si>
  <si>
    <t>06 07 2023  17:01:10</t>
  </si>
  <si>
    <t>17:01:10</t>
  </si>
  <si>
    <t>06 07 2023  17:40:16</t>
  </si>
  <si>
    <t>17:40:16</t>
  </si>
  <si>
    <t>06 07 2023  17:41:05</t>
  </si>
  <si>
    <t>17:41:05</t>
  </si>
  <si>
    <t>06 07 2023  17:42:54</t>
  </si>
  <si>
    <t>17:42:54</t>
  </si>
  <si>
    <t>06 07 2023  19:19:10</t>
  </si>
  <si>
    <t>19:19:10</t>
  </si>
  <si>
    <t>06 07 2023  19:22:12</t>
  </si>
  <si>
    <t>19:22:12</t>
  </si>
  <si>
    <t>06 07 2023  21:33:55</t>
  </si>
  <si>
    <t>21:33:55</t>
  </si>
  <si>
    <t>06 07 2023  21:34:43</t>
  </si>
  <si>
    <t>21:34:43</t>
  </si>
  <si>
    <t>06 07 2023  22:09:44</t>
  </si>
  <si>
    <t>22:09:44</t>
  </si>
  <si>
    <t>155000025439</t>
  </si>
  <si>
    <t>06 07 2023  22:21:26</t>
  </si>
  <si>
    <t>22:21:26</t>
  </si>
  <si>
    <t>07 07 2023  00:12:37</t>
  </si>
  <si>
    <t>00:12:37</t>
  </si>
  <si>
    <t>07 07 2023  01:08:14</t>
  </si>
  <si>
    <t>01:08:14</t>
  </si>
  <si>
    <t>07 07 2023  01:16:33</t>
  </si>
  <si>
    <t>01:16:33</t>
  </si>
  <si>
    <t>07 07 2023  01:22:29</t>
  </si>
  <si>
    <t>01:22:29</t>
  </si>
  <si>
    <t>07 07 2023  01:24:42</t>
  </si>
  <si>
    <t>01:24:42</t>
  </si>
  <si>
    <t>07 07 2023  01:28:05</t>
  </si>
  <si>
    <t>01:28:05</t>
  </si>
  <si>
    <t>07 07 2023  01:33:03</t>
  </si>
  <si>
    <t>01:33:03</t>
  </si>
  <si>
    <t>07 07 2023  02:31:32</t>
  </si>
  <si>
    <t>02:31:32</t>
  </si>
  <si>
    <t>07 07 2023  03:10:26</t>
  </si>
  <si>
    <t>03:10:26</t>
  </si>
  <si>
    <t>07 07 2023  04:07:11</t>
  </si>
  <si>
    <t>04:07:11</t>
  </si>
  <si>
    <t>07 07 2023  05:43:30</t>
  </si>
  <si>
    <t>05:43:30</t>
  </si>
  <si>
    <t>07 07 2023  05:44:24</t>
  </si>
  <si>
    <t>05:44:24</t>
  </si>
  <si>
    <t>07 07 2023  09:54:23</t>
  </si>
  <si>
    <t>09:54:23</t>
  </si>
  <si>
    <t>07 07 2023  10:45:09</t>
  </si>
  <si>
    <t>10:45:09</t>
  </si>
  <si>
    <t>07 07 2023  14:33:45</t>
  </si>
  <si>
    <t>14:33:45</t>
  </si>
  <si>
    <t>08 07 2023  00:34:31</t>
  </si>
  <si>
    <t>00:34:31</t>
  </si>
  <si>
    <t>08 07 2023  01:07:50</t>
  </si>
  <si>
    <t>01:07:50</t>
  </si>
  <si>
    <t>08 07 2023  01:10:12</t>
  </si>
  <si>
    <t>01:10:12</t>
  </si>
  <si>
    <t>08 07 2023  01:18:07</t>
  </si>
  <si>
    <t>01:18:07</t>
  </si>
  <si>
    <t>ID-1460541931523872777</t>
  </si>
  <si>
    <t>Alpha 12</t>
  </si>
  <si>
    <t>155000025230</t>
  </si>
  <si>
    <t>04 07 2023  08:34:22</t>
  </si>
  <si>
    <t>08:34:22</t>
  </si>
  <si>
    <t>155000025681</t>
  </si>
  <si>
    <t>05 07 2023  11:33:56</t>
  </si>
  <si>
    <t>11:33:56</t>
  </si>
  <si>
    <t>05 07 2023  11:56:05</t>
  </si>
  <si>
    <t>11:56:05</t>
  </si>
  <si>
    <t>05 07 2023  11:56:30</t>
  </si>
  <si>
    <t>11:56:30</t>
  </si>
  <si>
    <t>05 07 2023  11:56:42</t>
  </si>
  <si>
    <t>11:56:42</t>
  </si>
  <si>
    <t>05 07 2023  11:58:30</t>
  </si>
  <si>
    <t>11:58:30</t>
  </si>
  <si>
    <t>05 07 2023  12:04:40</t>
  </si>
  <si>
    <t>12:04:40</t>
  </si>
  <si>
    <t>05 07 2023  12:18:17</t>
  </si>
  <si>
    <t>05 07 2023  13:02:36</t>
  </si>
  <si>
    <t>13:02:36</t>
  </si>
  <si>
    <t>05 07 2023  13:02:38</t>
  </si>
  <si>
    <t>13:02:38</t>
  </si>
  <si>
    <t>05 07 2023  14:01:48</t>
  </si>
  <si>
    <t>14:01:48</t>
  </si>
  <si>
    <t>05 07 2023  14:25:29</t>
  </si>
  <si>
    <t>14:25:29</t>
  </si>
  <si>
    <t>05 07 2023  14:33:25</t>
  </si>
  <si>
    <t>14:33:25</t>
  </si>
  <si>
    <t>05 07 2023  14:46:12</t>
  </si>
  <si>
    <t>14:46:12</t>
  </si>
  <si>
    <t>05 07 2023  14:46:36</t>
  </si>
  <si>
    <t>14:46:36</t>
  </si>
  <si>
    <t>05 07 2023  17:57:40</t>
  </si>
  <si>
    <t>17:57:40</t>
  </si>
  <si>
    <t>05 07 2023  17:57:52</t>
  </si>
  <si>
    <t>17:57:52</t>
  </si>
  <si>
    <t>05 07 2023  17:59:25</t>
  </si>
  <si>
    <t>17:59:25</t>
  </si>
  <si>
    <t>05 07 2023  17:59:58</t>
  </si>
  <si>
    <t>17:59:58</t>
  </si>
  <si>
    <t>ID-884151479245149213</t>
  </si>
  <si>
    <t>Alpha 9</t>
  </si>
  <si>
    <t>155000025701</t>
  </si>
  <si>
    <t>04 07 2023  20:53:28</t>
  </si>
  <si>
    <t>20:53:28</t>
  </si>
  <si>
    <t>04 07 2023  21:03:11</t>
  </si>
  <si>
    <t>21:03:11</t>
  </si>
  <si>
    <t>155000025741</t>
  </si>
  <si>
    <t>04 07 2023  21:09:53</t>
  </si>
  <si>
    <t>21:09:53</t>
  </si>
  <si>
    <t>04 07 2023  21:21:16</t>
  </si>
  <si>
    <t>21:21:16</t>
  </si>
  <si>
    <t>155000025276</t>
  </si>
  <si>
    <t>05 07 2023  07:16:20</t>
  </si>
  <si>
    <t>07:16:20</t>
  </si>
  <si>
    <t>05 07 2023  07:16:25</t>
  </si>
  <si>
    <t>07:16:25</t>
  </si>
  <si>
    <t>05 07 2023  07:16:42</t>
  </si>
  <si>
    <t>07:16:42</t>
  </si>
  <si>
    <t>05 07 2023  07:17:22</t>
  </si>
  <si>
    <t>07:17:22</t>
  </si>
  <si>
    <t>05 07 2023  07:17:35</t>
  </si>
  <si>
    <t>07:17:35</t>
  </si>
  <si>
    <t>05 07 2023  07:18:14</t>
  </si>
  <si>
    <t>07:18:14</t>
  </si>
  <si>
    <t>05 07 2023  07:18:28</t>
  </si>
  <si>
    <t>07:18:28</t>
  </si>
  <si>
    <t>05 07 2023  07:18:38</t>
  </si>
  <si>
    <t>07:18:38</t>
  </si>
  <si>
    <t>05 07 2023  07:18:43</t>
  </si>
  <si>
    <t>07:18:43</t>
  </si>
  <si>
    <t>05 07 2023  07:19:40</t>
  </si>
  <si>
    <t>07:19:40</t>
  </si>
  <si>
    <t>05 07 2023  07:19:48</t>
  </si>
  <si>
    <t>07:19:48</t>
  </si>
  <si>
    <t>05 07 2023  07:20:01</t>
  </si>
  <si>
    <t>07:20:01</t>
  </si>
  <si>
    <t>05 07 2023  07:23:33</t>
  </si>
  <si>
    <t>07:23:33</t>
  </si>
  <si>
    <t>05 07 2023  07:23:52</t>
  </si>
  <si>
    <t>07:23:52</t>
  </si>
  <si>
    <t>05 07 2023  07:33:47</t>
  </si>
  <si>
    <t>07:33:47</t>
  </si>
  <si>
    <t>05 07 2023  07:34:09</t>
  </si>
  <si>
    <t>07:34:09</t>
  </si>
  <si>
    <t>05 07 2023  07:34:26</t>
  </si>
  <si>
    <t>07:34:26</t>
  </si>
  <si>
    <t>05 07 2023  07:34:33</t>
  </si>
  <si>
    <t>07:34:33</t>
  </si>
  <si>
    <t>05 07 2023  14:54:22</t>
  </si>
  <si>
    <t>14:54:22</t>
  </si>
  <si>
    <t>05 07 2023  14:54:52</t>
  </si>
  <si>
    <t>14:54:52</t>
  </si>
  <si>
    <t>05 07 2023  14:57:08</t>
  </si>
  <si>
    <t>14:57:08</t>
  </si>
  <si>
    <t>05 07 2023  14:58:00</t>
  </si>
  <si>
    <t>14:58:00</t>
  </si>
  <si>
    <t>05 07 2023  14:58:19</t>
  </si>
  <si>
    <t>14:58:19</t>
  </si>
  <si>
    <t>05 07 2023  14:59:07</t>
  </si>
  <si>
    <t>14:59:07</t>
  </si>
  <si>
    <t>05 07 2023  14:59:16</t>
  </si>
  <si>
    <t>14:59:16</t>
  </si>
  <si>
    <t>05 07 2023  15:09:46</t>
  </si>
  <si>
    <t>15:09:46</t>
  </si>
  <si>
    <t>05 07 2023  15:11:10</t>
  </si>
  <si>
    <t>15:11:10</t>
  </si>
  <si>
    <t>05 07 2023  15:11:16</t>
  </si>
  <si>
    <t>15:11:16</t>
  </si>
  <si>
    <t>05 07 2023  15:11:24</t>
  </si>
  <si>
    <t>15:11:24</t>
  </si>
  <si>
    <t>05 07 2023  15:12:21</t>
  </si>
  <si>
    <t>15:12:21</t>
  </si>
  <si>
    <t>05 07 2023  15:12:26</t>
  </si>
  <si>
    <t>15:12:26</t>
  </si>
  <si>
    <t>05 07 2023  15:12:34</t>
  </si>
  <si>
    <t>15:12:34</t>
  </si>
  <si>
    <t>05 07 2023  15:12:57</t>
  </si>
  <si>
    <t>15:12:57</t>
  </si>
  <si>
    <t>05 07 2023  15:13:42</t>
  </si>
  <si>
    <t>15:13:42</t>
  </si>
  <si>
    <t>05 07 2023  15:14:21</t>
  </si>
  <si>
    <t>15:14:21</t>
  </si>
  <si>
    <t>05 07 2023  15:14:51</t>
  </si>
  <si>
    <t>15:14:51</t>
  </si>
  <si>
    <t>05 07 2023  15:15:23</t>
  </si>
  <si>
    <t>15:15:23</t>
  </si>
  <si>
    <t>05 07 2023  15:17:23</t>
  </si>
  <si>
    <t>15:17:23</t>
  </si>
  <si>
    <t>05 07 2023  15:18:20</t>
  </si>
  <si>
    <t>15:18:20</t>
  </si>
  <si>
    <t>05 07 2023  15:18:24</t>
  </si>
  <si>
    <t>15:18:24</t>
  </si>
  <si>
    <t>05 07 2023  15:18:59</t>
  </si>
  <si>
    <t>15:18:59</t>
  </si>
  <si>
    <t>05 07 2023  15:22:19</t>
  </si>
  <si>
    <t>15:22:19</t>
  </si>
  <si>
    <t>05 07 2023  15:22:29</t>
  </si>
  <si>
    <t>15:22:29</t>
  </si>
  <si>
    <t>05 07 2023  15:54:46</t>
  </si>
  <si>
    <t>15:54:46</t>
  </si>
  <si>
    <t>05 07 2023  15:54:52</t>
  </si>
  <si>
    <t>15:54:52</t>
  </si>
  <si>
    <t>05 07 2023  15:55:06</t>
  </si>
  <si>
    <t>15:55:06</t>
  </si>
  <si>
    <t>05 07 2023  16:27:58</t>
  </si>
  <si>
    <t>16:27:58</t>
  </si>
  <si>
    <t>05 07 2023  16:28:29</t>
  </si>
  <si>
    <t>16:28:29</t>
  </si>
  <si>
    <t>05 07 2023  16:28:45</t>
  </si>
  <si>
    <t>16:28:45</t>
  </si>
  <si>
    <t>155000025759</t>
  </si>
  <si>
    <t>05 07 2023  16:34:05</t>
  </si>
  <si>
    <t>16:34:05</t>
  </si>
  <si>
    <t>05 07 2023  16:37:13</t>
  </si>
  <si>
    <t>16:37:13</t>
  </si>
  <si>
    <t>155000025519</t>
  </si>
  <si>
    <t>05 07 2023  16:52:02</t>
  </si>
  <si>
    <t>16:52:02</t>
  </si>
  <si>
    <t>05 07 2023  16:52:23</t>
  </si>
  <si>
    <t>16:52:23</t>
  </si>
  <si>
    <t>05 07 2023  16:53:12</t>
  </si>
  <si>
    <t>16:53:12</t>
  </si>
  <si>
    <t>05 07 2023  16:53:37</t>
  </si>
  <si>
    <t>16:53:37</t>
  </si>
  <si>
    <t>05 07 2023  16:53:45</t>
  </si>
  <si>
    <t>16:53:45</t>
  </si>
  <si>
    <t>05 07 2023  16:56:20</t>
  </si>
  <si>
    <t>16:56:20</t>
  </si>
  <si>
    <t>05 07 2023  17:06:26</t>
  </si>
  <si>
    <t>17:06:26</t>
  </si>
  <si>
    <t>05 07 2023  17:10:09</t>
  </si>
  <si>
    <t>17:10:09</t>
  </si>
  <si>
    <t>05 07 2023  17:16:09</t>
  </si>
  <si>
    <t>17:16:09</t>
  </si>
  <si>
    <t>05 07 2023  18:08:01</t>
  </si>
  <si>
    <t>18:08:01</t>
  </si>
  <si>
    <t>05 07 2023  18:51:32</t>
  </si>
  <si>
    <t>18:51:32</t>
  </si>
  <si>
    <t>05 07 2023  18:51:53</t>
  </si>
  <si>
    <t>18:51:53</t>
  </si>
  <si>
    <t>05 07 2023  18:52:06</t>
  </si>
  <si>
    <t>18:52:06</t>
  </si>
  <si>
    <t>05 07 2023  18:55:50</t>
  </si>
  <si>
    <t>18:55:50</t>
  </si>
  <si>
    <t>05 07 2023  18:55:53</t>
  </si>
  <si>
    <t>18:55:53</t>
  </si>
  <si>
    <t>05 07 2023  18:56:08</t>
  </si>
  <si>
    <t>18:56:08</t>
  </si>
  <si>
    <t>05 07 2023  18:56:55</t>
  </si>
  <si>
    <t>18:56:55</t>
  </si>
  <si>
    <t>05 07 2023  18:56:59</t>
  </si>
  <si>
    <t>18:56:59</t>
  </si>
  <si>
    <t>05 07 2023  18:58:05</t>
  </si>
  <si>
    <t>18:58:05</t>
  </si>
  <si>
    <t>05 07 2023  18:59:00</t>
  </si>
  <si>
    <t>18:59:00</t>
  </si>
  <si>
    <t>05 07 2023  18:59:13</t>
  </si>
  <si>
    <t>18:59:13</t>
  </si>
  <si>
    <t>155000025861</t>
  </si>
  <si>
    <t>05 07 2023  18:59:47</t>
  </si>
  <si>
    <t>18:59:47</t>
  </si>
  <si>
    <t>05 07 2023  18:59:52</t>
  </si>
  <si>
    <t>18:59:52</t>
  </si>
  <si>
    <t>05 07 2023  22:22:50</t>
  </si>
  <si>
    <t>22:22:50</t>
  </si>
  <si>
    <t>05 07 2023  22:22:52</t>
  </si>
  <si>
    <t>22:22:52</t>
  </si>
  <si>
    <t>06 07 2023  00:13:44</t>
  </si>
  <si>
    <t>00:13:44</t>
  </si>
  <si>
    <t>06 07 2023  00:14:31</t>
  </si>
  <si>
    <t>06 07 2023  00:28:05</t>
  </si>
  <si>
    <t>00:28:05</t>
  </si>
  <si>
    <t>06 07 2023  00:31:46</t>
  </si>
  <si>
    <t>00:31:46</t>
  </si>
  <si>
    <t>06 07 2023  00:33:23</t>
  </si>
  <si>
    <t>00:33:23</t>
  </si>
  <si>
    <t>06 07 2023  00:33:25</t>
  </si>
  <si>
    <t>00:33:25</t>
  </si>
  <si>
    <t>06 07 2023  00:35:20</t>
  </si>
  <si>
    <t>00:35:20</t>
  </si>
  <si>
    <t>06 07 2023  00:53:26</t>
  </si>
  <si>
    <t>00:53:26</t>
  </si>
  <si>
    <t>06 07 2023  00:53:29</t>
  </si>
  <si>
    <t>00:53:29</t>
  </si>
  <si>
    <t>06 07 2023  00:57:16</t>
  </si>
  <si>
    <t>00:57:16</t>
  </si>
  <si>
    <t>06 07 2023  01:54:07</t>
  </si>
  <si>
    <t>01:54:07</t>
  </si>
  <si>
    <t>06 07 2023  01:54:11</t>
  </si>
  <si>
    <t>01:54:11</t>
  </si>
  <si>
    <t>06 07 2023  01:55:00</t>
  </si>
  <si>
    <t>01:55:00</t>
  </si>
  <si>
    <t>06 07 2023  02:01:48</t>
  </si>
  <si>
    <t>02:01:48</t>
  </si>
  <si>
    <t>06 07 2023  02:01:51</t>
  </si>
  <si>
    <t>02:01:51</t>
  </si>
  <si>
    <t>06 07 2023  02:56:37</t>
  </si>
  <si>
    <t>02:56:37</t>
  </si>
  <si>
    <t>06 07 2023  02:59:54</t>
  </si>
  <si>
    <t>02:59:54</t>
  </si>
  <si>
    <t>06 07 2023  04:33:38</t>
  </si>
  <si>
    <t>04:33:38</t>
  </si>
  <si>
    <t>06 07 2023  04:35:22</t>
  </si>
  <si>
    <t>04:35:22</t>
  </si>
  <si>
    <t>06 07 2023  04:35:50</t>
  </si>
  <si>
    <t>04:35:50</t>
  </si>
  <si>
    <t>06 07 2023  04:36:48</t>
  </si>
  <si>
    <t>04:36:48</t>
  </si>
  <si>
    <t>06 07 2023  04:37:41</t>
  </si>
  <si>
    <t>04:37:41</t>
  </si>
  <si>
    <t>06 07 2023  04:38:16</t>
  </si>
  <si>
    <t>04:38:16</t>
  </si>
  <si>
    <t>06 07 2023  04:40:09</t>
  </si>
  <si>
    <t>04:40:09</t>
  </si>
  <si>
    <t>06 07 2023  04:40:25</t>
  </si>
  <si>
    <t>04:40:25</t>
  </si>
  <si>
    <t>06 07 2023  04:40:40</t>
  </si>
  <si>
    <t>04:40:40</t>
  </si>
  <si>
    <t>06 07 2023  04:44:33</t>
  </si>
  <si>
    <t>04:44:33</t>
  </si>
  <si>
    <t>06 07 2023  04:44:59</t>
  </si>
  <si>
    <t>04:44:59</t>
  </si>
  <si>
    <t>06 07 2023  04:45:38</t>
  </si>
  <si>
    <t>04:45:38</t>
  </si>
  <si>
    <t>06 07 2023  04:46:20</t>
  </si>
  <si>
    <t>04:46:20</t>
  </si>
  <si>
    <t>06 07 2023  04:46:22</t>
  </si>
  <si>
    <t>04:46:22</t>
  </si>
  <si>
    <t>06 07 2023  04:46:34</t>
  </si>
  <si>
    <t>04:46:34</t>
  </si>
  <si>
    <t>06 07 2023  04:46:49</t>
  </si>
  <si>
    <t>04:46:49</t>
  </si>
  <si>
    <t>06 07 2023  04:46:51</t>
  </si>
  <si>
    <t>04:46:51</t>
  </si>
  <si>
    <t>06 07 2023  04:47:16</t>
  </si>
  <si>
    <t>04:47:16</t>
  </si>
  <si>
    <t>06 07 2023  04:48:58</t>
  </si>
  <si>
    <t>04:48:58</t>
  </si>
  <si>
    <t>06 07 2023  04:49:13</t>
  </si>
  <si>
    <t>04:49:13</t>
  </si>
  <si>
    <t>155000025388</t>
  </si>
  <si>
    <t>06 07 2023  04:50:27</t>
  </si>
  <si>
    <t>04:50:27</t>
  </si>
  <si>
    <t>06 07 2023  04:50:28</t>
  </si>
  <si>
    <t>04:50:28</t>
  </si>
  <si>
    <t>06 07 2023  04:50:44</t>
  </si>
  <si>
    <t>04:50:44</t>
  </si>
  <si>
    <t>06 07 2023  04:51:11</t>
  </si>
  <si>
    <t>04:51:11</t>
  </si>
  <si>
    <t>06 07 2023  04:51:12</t>
  </si>
  <si>
    <t>04:51:12</t>
  </si>
  <si>
    <t>06 07 2023  04:51:34</t>
  </si>
  <si>
    <t>04:51:34</t>
  </si>
  <si>
    <t>06 07 2023  04:51:55</t>
  </si>
  <si>
    <t>04:51:55</t>
  </si>
  <si>
    <t>06 07 2023  04:51:57</t>
  </si>
  <si>
    <t>04:51:57</t>
  </si>
  <si>
    <t>06 07 2023  04:52:44</t>
  </si>
  <si>
    <t>04:52:44</t>
  </si>
  <si>
    <t>06 07 2023  04:53:17</t>
  </si>
  <si>
    <t>04:53:17</t>
  </si>
  <si>
    <t>06 07 2023  04:53:55</t>
  </si>
  <si>
    <t>04:53:55</t>
  </si>
  <si>
    <t>06 07 2023  04:54:19</t>
  </si>
  <si>
    <t>04:54:19</t>
  </si>
  <si>
    <t>06 07 2023  04:56:05</t>
  </si>
  <si>
    <t>04:56:05</t>
  </si>
  <si>
    <t>06 07 2023  05:01:14</t>
  </si>
  <si>
    <t>05:01:14</t>
  </si>
  <si>
    <t>06 07 2023  05:01:15</t>
  </si>
  <si>
    <t>05:01:15</t>
  </si>
  <si>
    <t>06 07 2023  06:51:38</t>
  </si>
  <si>
    <t>06:51:38</t>
  </si>
  <si>
    <t>06 07 2023  06:57:05</t>
  </si>
  <si>
    <t>06:57:05</t>
  </si>
  <si>
    <t>06 07 2023  06:57:41</t>
  </si>
  <si>
    <t>06:57:41</t>
  </si>
  <si>
    <t>06 07 2023  06:57:43</t>
  </si>
  <si>
    <t>06:57:43</t>
  </si>
  <si>
    <t>06 07 2023  07:02:49</t>
  </si>
  <si>
    <t>07:02:49</t>
  </si>
  <si>
    <t>06 07 2023  09:32:06</t>
  </si>
  <si>
    <t>09:32:06</t>
  </si>
  <si>
    <t>06 07 2023  09:32:11</t>
  </si>
  <si>
    <t>09:32:11</t>
  </si>
  <si>
    <t>06 07 2023  09:34:39</t>
  </si>
  <si>
    <t>09:34:39</t>
  </si>
  <si>
    <t>06 07 2023  09:37:08</t>
  </si>
  <si>
    <t>09:37:08</t>
  </si>
  <si>
    <t>06 07 2023  09:38:34</t>
  </si>
  <si>
    <t>09:38:34</t>
  </si>
  <si>
    <t>06 07 2023  09:42:03</t>
  </si>
  <si>
    <t>09:42:03</t>
  </si>
  <si>
    <t>06 07 2023  09:50:04</t>
  </si>
  <si>
    <t>09:50:04</t>
  </si>
  <si>
    <t>06 07 2023  10:37:30</t>
  </si>
  <si>
    <t>10:37:30</t>
  </si>
  <si>
    <t>06 07 2023  10:38:55</t>
  </si>
  <si>
    <t>10:38:55</t>
  </si>
  <si>
    <t>06 07 2023  10:41:19</t>
  </si>
  <si>
    <t>10:41:19</t>
  </si>
  <si>
    <t>06 07 2023  10:41:21</t>
  </si>
  <si>
    <t>10:41:21</t>
  </si>
  <si>
    <t>06 07 2023  10:42:43</t>
  </si>
  <si>
    <t>10:42:43</t>
  </si>
  <si>
    <t>155000025232</t>
  </si>
  <si>
    <t>06 07 2023  10:48:27</t>
  </si>
  <si>
    <t>10:48:27</t>
  </si>
  <si>
    <t>155000025591</t>
  </si>
  <si>
    <t>06 07 2023  12:47:07</t>
  </si>
  <si>
    <t>12:47:07</t>
  </si>
  <si>
    <t>06 07 2023  13:39:16</t>
  </si>
  <si>
    <t>13:39:16</t>
  </si>
  <si>
    <t>06 07 2023  13:41:17</t>
  </si>
  <si>
    <t>13:41:17</t>
  </si>
  <si>
    <t>06 07 2023  13:45:05</t>
  </si>
  <si>
    <t>13:45:05</t>
  </si>
  <si>
    <t>06 07 2023  13:45:08</t>
  </si>
  <si>
    <t>13:45:08</t>
  </si>
  <si>
    <t>06 07 2023  13:51:36</t>
  </si>
  <si>
    <t>13:51:36</t>
  </si>
  <si>
    <t>06 07 2023  13:52:16</t>
  </si>
  <si>
    <t>13:52:16</t>
  </si>
  <si>
    <t>06 07 2023  13:52:17</t>
  </si>
  <si>
    <t>13:52:17</t>
  </si>
  <si>
    <t>06 07 2023  13:53:08</t>
  </si>
  <si>
    <t>13:53:08</t>
  </si>
  <si>
    <t>06 07 2023  13:53:32</t>
  </si>
  <si>
    <t>13:53:32</t>
  </si>
  <si>
    <t>06 07 2023  15:49:01</t>
  </si>
  <si>
    <t>15:49:01</t>
  </si>
  <si>
    <t>06 07 2023  15:49:44</t>
  </si>
  <si>
    <t>15:49:44</t>
  </si>
  <si>
    <t>06 07 2023  15:54:50</t>
  </si>
  <si>
    <t>15:54:50</t>
  </si>
  <si>
    <t>06 07 2023  15:55:43</t>
  </si>
  <si>
    <t>15:55:43</t>
  </si>
  <si>
    <t>155000025973</t>
  </si>
  <si>
    <t>06 07 2023  16:22:10</t>
  </si>
  <si>
    <t>16:22:10</t>
  </si>
  <si>
    <t>06 07 2023  16:22:32</t>
  </si>
  <si>
    <t>16:22:32</t>
  </si>
  <si>
    <t>06 07 2023  16:23:44</t>
  </si>
  <si>
    <t>16:23:44</t>
  </si>
  <si>
    <t>06 07 2023  16:24:39</t>
  </si>
  <si>
    <t>16:24:39</t>
  </si>
  <si>
    <t>06 07 2023  16:26:17</t>
  </si>
  <si>
    <t>16:26:17</t>
  </si>
  <si>
    <t>06 07 2023  16:27:56</t>
  </si>
  <si>
    <t>16:27:56</t>
  </si>
  <si>
    <t>06 07 2023  16:32:04</t>
  </si>
  <si>
    <t>16:32:04</t>
  </si>
  <si>
    <t>06 07 2023  16:32:22</t>
  </si>
  <si>
    <t>16:32:22</t>
  </si>
  <si>
    <t>06 07 2023  16:32:41</t>
  </si>
  <si>
    <t>16:32:41</t>
  </si>
  <si>
    <t>06 07 2023  17:00:29</t>
  </si>
  <si>
    <t>17:00:29</t>
  </si>
  <si>
    <t>06 07 2023  17:01:58</t>
  </si>
  <si>
    <t>17:01:58</t>
  </si>
  <si>
    <t>06 07 2023  20:06:04</t>
  </si>
  <si>
    <t>20:06:04</t>
  </si>
  <si>
    <t>06 07 2023  20:19:19</t>
  </si>
  <si>
    <t>20:19:19</t>
  </si>
  <si>
    <t>06 07 2023  20:19:44</t>
  </si>
  <si>
    <t>20:19:44</t>
  </si>
  <si>
    <t>06 07 2023  20:22:12</t>
  </si>
  <si>
    <t>20:22:12</t>
  </si>
  <si>
    <t>06 07 2023  20:23:57</t>
  </si>
  <si>
    <t>20:23:57</t>
  </si>
  <si>
    <t>06 07 2023  20:23:59</t>
  </si>
  <si>
    <t>20:23:59</t>
  </si>
  <si>
    <t>06 07 2023  20:24:23</t>
  </si>
  <si>
    <t>20:24:23</t>
  </si>
  <si>
    <t>06 07 2023  20:24:37</t>
  </si>
  <si>
    <t>20:24:37</t>
  </si>
  <si>
    <t>06 07 2023  20:24:48</t>
  </si>
  <si>
    <t>20:24:48</t>
  </si>
  <si>
    <t>06 07 2023  20:25:09</t>
  </si>
  <si>
    <t>20:25:09</t>
  </si>
  <si>
    <t>06 07 2023  20:25:41</t>
  </si>
  <si>
    <t>20:25:41</t>
  </si>
  <si>
    <t>06 07 2023  20:26:01</t>
  </si>
  <si>
    <t>20:26:01</t>
  </si>
  <si>
    <t>06 07 2023  20:40:10</t>
  </si>
  <si>
    <t>20:40:10</t>
  </si>
  <si>
    <t>06 07 2023  21:25:39</t>
  </si>
  <si>
    <t>21:25:39</t>
  </si>
  <si>
    <t>06 07 2023  21:26:21</t>
  </si>
  <si>
    <t>21:26:21</t>
  </si>
  <si>
    <t>06 07 2023  21:26:30</t>
  </si>
  <si>
    <t>21:26:30</t>
  </si>
  <si>
    <t>06 07 2023  21:27:35</t>
  </si>
  <si>
    <t>21:27:35</t>
  </si>
  <si>
    <t>06 07 2023  21:28:04</t>
  </si>
  <si>
    <t>21:28:04</t>
  </si>
  <si>
    <t>06 07 2023  21:47:47</t>
  </si>
  <si>
    <t>21:47:47</t>
  </si>
  <si>
    <t>06 07 2023  21:48:03</t>
  </si>
  <si>
    <t>21:48:03</t>
  </si>
  <si>
    <t>07 07 2023  06:39:54</t>
  </si>
  <si>
    <t>06:39:54</t>
  </si>
  <si>
    <t>07 07 2023  06:42:52</t>
  </si>
  <si>
    <t>06:42:52</t>
  </si>
  <si>
    <t>07 07 2023  06:43:05</t>
  </si>
  <si>
    <t>06:43:05</t>
  </si>
  <si>
    <t>07 07 2023  06:43:28</t>
  </si>
  <si>
    <t>06:43:28</t>
  </si>
  <si>
    <t>07 07 2023  06:44:33</t>
  </si>
  <si>
    <t>06:44:33</t>
  </si>
  <si>
    <t>N° Ordre brebis</t>
  </si>
  <si>
    <t>Nb Chev Cumulés Brebis</t>
  </si>
  <si>
    <t>Jour + Heure début corrigé</t>
  </si>
  <si>
    <t>Jour + Heure fin corrigé</t>
  </si>
  <si>
    <t xml:space="preserve">Globalement 32 brebis vues en chaleurs sur 48 soit 66,7% </t>
  </si>
  <si>
    <t>16 brebis dans la cible pour IA à 55h avec 3ch ou plus au moment de l'IA</t>
  </si>
  <si>
    <t>1 avec 1 ou 2 ch</t>
  </si>
  <si>
    <t>donc 17/48 =&gt;35,4%</t>
  </si>
  <si>
    <t>16/48 =&gt; 33,3%</t>
  </si>
  <si>
    <t>2 trop tardives mais rattrapables =&gt; Total 19/48=39,6%</t>
  </si>
  <si>
    <t>17 brebis dans la cible pour IA à 60h avec 3ch ou plus au moment de l'IA</t>
  </si>
  <si>
    <t>17/48 =&gt;35,4%</t>
  </si>
  <si>
    <t>donc total 18/48 =&gt; 37,5%</t>
  </si>
  <si>
    <t>3 trop tardives mais rattrapables =&gt; Total 21/48=43,75%</t>
  </si>
  <si>
    <t>Dont 16+1+2 dans la cible pour une IA à  55h et 17+1+3 pour une IA à 60h soit 39,6 et 43,75%</t>
  </si>
  <si>
    <t>Date pesée 2</t>
  </si>
  <si>
    <t>PERS+</t>
  </si>
  <si>
    <t>retour1</t>
  </si>
  <si>
    <t>06/09/2023</t>
  </si>
  <si>
    <t>PERS-</t>
  </si>
  <si>
    <t>vide</t>
  </si>
  <si>
    <t>05/09/2023</t>
  </si>
  <si>
    <t>04/09/2023</t>
  </si>
  <si>
    <t>Date pesée 3</t>
  </si>
  <si>
    <t>18 vides (30/48 soit 62,5% fertilité )</t>
  </si>
  <si>
    <t>Dont 11 qui ont pris sur le retour soit (41/48 85,4% de fertilité totale)</t>
  </si>
  <si>
    <t>Parmi les 7 definitivement vide, 4 avaient été vues avec le détecteur dont 2 dans la cible et 2 trop tardives par rapport à l'IA</t>
  </si>
  <si>
    <t xml:space="preserve">Sur les 30 pleines: 23 vues en chaleur </t>
  </si>
  <si>
    <t>dont 14 dans la cible</t>
  </si>
  <si>
    <t>8 trop tardives (après-midi ou début de nuit)</t>
  </si>
  <si>
    <t xml:space="preserve">1 trop précoce </t>
  </si>
  <si>
    <t>Parmi les 11 vues sur retour, 5 avaient été vues en chaleur dont 1 dans la cible, 1 trop précoce ( 1ch) et 3 trop tardives par rapport à l'IA  dont 1 avec seulement 1 ch</t>
  </si>
  <si>
    <t>Echo (08/09/2023)</t>
  </si>
  <si>
    <t>Proba rep EM</t>
  </si>
  <si>
    <t>Age</t>
  </si>
  <si>
    <t>qltc clo7 (ml)</t>
  </si>
  <si>
    <t>Lignée</t>
  </si>
  <si>
    <t>Oui</t>
  </si>
  <si>
    <t>Retour</t>
  </si>
  <si>
    <t>Vue après IA</t>
  </si>
  <si>
    <t>Pas vues</t>
  </si>
  <si>
    <t>Vue lendemain IA</t>
  </si>
  <si>
    <t>Vue IA</t>
  </si>
  <si>
    <t>Pas vue</t>
  </si>
  <si>
    <t>Repasse</t>
  </si>
  <si>
    <t>Agnelage</t>
  </si>
  <si>
    <t>10 retour</t>
  </si>
  <si>
    <t>2 repasse</t>
  </si>
  <si>
    <t>7 pas agnelées - vides</t>
  </si>
  <si>
    <t>29 agnelées 1er cycle / 48 soit 60,4% fertilité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</si>
</sst>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"/>
    <numFmt numFmtId="165" formatCode="d/m;@"/>
    <numFmt numFmtId="166" formatCode="0.0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1A0C7"/>
        <bgColor rgb="FF99CC00"/>
      </patternFill>
    </fill>
    <fill>
      <patternFill patternType="solid">
        <fgColor rgb="FFB1A0C7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808080"/>
        <bgColor rgb="FF7F7F7F"/>
      </patternFill>
    </fill>
    <fill>
      <patternFill patternType="solid">
        <fgColor rgb="FFB1A0C7"/>
        <bgColor rgb="FF7F7F7F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BFBFBF"/>
        <bgColor rgb="FF7F7F7F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80808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5" fillId="0" borderId="0"/>
    <xf numFmtId="0" fontId="14" fillId="0" borderId="0"/>
  </cellStyleXfs>
  <cellXfs count="160">
    <xf numFmtId="0" fontId="0" fillId="0" borderId="0" xfId="0"/>
    <xf numFmtId="164" fontId="3" fillId="0" borderId="4" xfId="0" applyNumberFormat="1" applyFont="1" applyFill="1" applyBorder="1" applyAlignment="1">
      <alignment horizontal="center" vertical="center" wrapText="1"/>
    </xf>
    <xf numFmtId="165" fontId="3" fillId="0" borderId="4" xfId="0" applyNumberFormat="1" applyFont="1" applyFill="1" applyBorder="1" applyAlignment="1">
      <alignment horizontal="center" vertical="center" wrapText="1"/>
    </xf>
    <xf numFmtId="1" fontId="3" fillId="0" borderId="4" xfId="0" applyNumberFormat="1" applyFont="1" applyFill="1" applyBorder="1" applyAlignment="1">
      <alignment horizontal="center" vertical="center" wrapText="1"/>
    </xf>
    <xf numFmtId="2" fontId="3" fillId="0" borderId="4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/>
    </xf>
    <xf numFmtId="14" fontId="4" fillId="0" borderId="0" xfId="0" applyNumberFormat="1" applyFont="1" applyFill="1" applyAlignment="1"/>
    <xf numFmtId="0" fontId="0" fillId="0" borderId="0" xfId="0" applyFont="1" applyAlignment="1"/>
    <xf numFmtId="164" fontId="0" fillId="0" borderId="10" xfId="0" applyNumberFormat="1" applyFont="1" applyFill="1" applyBorder="1"/>
    <xf numFmtId="0" fontId="0" fillId="4" borderId="0" xfId="0" applyFont="1" applyFill="1" applyAlignment="1"/>
    <xf numFmtId="0" fontId="0" fillId="5" borderId="0" xfId="0" applyFont="1" applyFill="1" applyAlignment="1"/>
    <xf numFmtId="0" fontId="0" fillId="0" borderId="0" xfId="0" applyFont="1" applyFill="1" applyAlignment="1"/>
    <xf numFmtId="164" fontId="0" fillId="0" borderId="0" xfId="0" applyNumberFormat="1" applyFont="1" applyFill="1" applyBorder="1"/>
    <xf numFmtId="1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11" fillId="0" borderId="0" xfId="0" applyNumberFormat="1" applyFont="1"/>
    <xf numFmtId="0" fontId="1" fillId="0" borderId="0" xfId="0" applyFont="1" applyFill="1"/>
    <xf numFmtId="0" fontId="12" fillId="0" borderId="0" xfId="0" quotePrefix="1" applyNumberFormat="1" applyFont="1" applyFill="1" applyBorder="1" applyAlignment="1" applyProtection="1">
      <alignment horizontal="left"/>
    </xf>
    <xf numFmtId="0" fontId="13" fillId="0" borderId="5" xfId="0" applyNumberFormat="1" applyFont="1" applyFill="1" applyBorder="1" applyAlignment="1" applyProtection="1">
      <alignment horizontal="center" wrapText="1"/>
    </xf>
    <xf numFmtId="0" fontId="0" fillId="0" borderId="0" xfId="0" applyFill="1"/>
    <xf numFmtId="2" fontId="11" fillId="0" borderId="0" xfId="0" applyNumberFormat="1" applyFont="1" applyFill="1"/>
    <xf numFmtId="0" fontId="11" fillId="0" borderId="0" xfId="0" applyFont="1" applyFill="1"/>
    <xf numFmtId="2" fontId="3" fillId="0" borderId="1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7" fillId="0" borderId="0" xfId="0" applyFont="1" applyAlignment="1">
      <alignment vertical="center" wrapText="1"/>
    </xf>
    <xf numFmtId="0" fontId="16" fillId="0" borderId="0" xfId="2" applyFont="1"/>
    <xf numFmtId="0" fontId="0" fillId="0" borderId="0" xfId="0" applyFill="1" applyAlignment="1">
      <alignment wrapText="1"/>
    </xf>
    <xf numFmtId="0" fontId="10" fillId="0" borderId="0" xfId="0" applyFont="1" applyFill="1"/>
    <xf numFmtId="0" fontId="0" fillId="0" borderId="0" xfId="0" applyFill="1" applyAlignment="1"/>
    <xf numFmtId="0" fontId="7" fillId="0" borderId="0" xfId="0" applyFont="1" applyFill="1" applyBorder="1" applyAlignment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 wrapText="1"/>
    </xf>
    <xf numFmtId="164" fontId="7" fillId="0" borderId="0" xfId="0" applyNumberFormat="1" applyFont="1" applyFill="1" applyBorder="1"/>
    <xf numFmtId="0" fontId="6" fillId="0" borderId="0" xfId="0" applyFont="1" applyFill="1" applyBorder="1"/>
    <xf numFmtId="0" fontId="7" fillId="0" borderId="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7" fillId="0" borderId="8" xfId="0" applyFont="1" applyFill="1" applyBorder="1"/>
    <xf numFmtId="0" fontId="6" fillId="7" borderId="9" xfId="0" applyFont="1" applyFill="1" applyBorder="1" applyAlignment="1">
      <alignment horizontal="center" wrapText="1"/>
    </xf>
    <xf numFmtId="164" fontId="7" fillId="0" borderId="0" xfId="0" applyNumberFormat="1" applyFont="1" applyFill="1" applyBorder="1" applyAlignment="1">
      <alignment horizontal="center" wrapText="1"/>
    </xf>
    <xf numFmtId="0" fontId="7" fillId="0" borderId="14" xfId="0" applyFont="1" applyFill="1" applyBorder="1" applyAlignment="1"/>
    <xf numFmtId="164" fontId="7" fillId="0" borderId="14" xfId="0" applyNumberFormat="1" applyFont="1" applyFill="1" applyBorder="1"/>
    <xf numFmtId="0" fontId="7" fillId="0" borderId="14" xfId="0" applyFont="1" applyFill="1" applyBorder="1"/>
    <xf numFmtId="0" fontId="7" fillId="8" borderId="14" xfId="0" applyFont="1" applyFill="1" applyBorder="1" applyAlignment="1"/>
    <xf numFmtId="164" fontId="7" fillId="9" borderId="14" xfId="0" applyNumberFormat="1" applyFont="1" applyFill="1" applyBorder="1"/>
    <xf numFmtId="0" fontId="7" fillId="9" borderId="14" xfId="0" applyFont="1" applyFill="1" applyBorder="1"/>
    <xf numFmtId="164" fontId="8" fillId="10" borderId="15" xfId="0" applyNumberFormat="1" applyFont="1" applyFill="1" applyBorder="1" applyAlignment="1">
      <alignment horizontal="center" wrapText="1"/>
    </xf>
    <xf numFmtId="0" fontId="7" fillId="11" borderId="14" xfId="0" applyFont="1" applyFill="1" applyBorder="1" applyAlignment="1"/>
    <xf numFmtId="164" fontId="7" fillId="11" borderId="14" xfId="0" applyNumberFormat="1" applyFont="1" applyFill="1" applyBorder="1"/>
    <xf numFmtId="0" fontId="7" fillId="11" borderId="14" xfId="0" applyFont="1" applyFill="1" applyBorder="1"/>
    <xf numFmtId="0" fontId="7" fillId="8" borderId="16" xfId="0" applyFont="1" applyFill="1" applyBorder="1" applyAlignment="1"/>
    <xf numFmtId="164" fontId="7" fillId="9" borderId="16" xfId="0" applyNumberFormat="1" applyFont="1" applyFill="1" applyBorder="1"/>
    <xf numFmtId="0" fontId="7" fillId="9" borderId="16" xfId="0" applyFont="1" applyFill="1" applyBorder="1"/>
    <xf numFmtId="0" fontId="7" fillId="9" borderId="17" xfId="0" applyFont="1" applyFill="1" applyBorder="1"/>
    <xf numFmtId="164" fontId="7" fillId="0" borderId="14" xfId="0" applyNumberFormat="1" applyFont="1" applyFill="1" applyBorder="1" applyAlignment="1">
      <alignment horizontal="center" wrapText="1"/>
    </xf>
    <xf numFmtId="164" fontId="7" fillId="12" borderId="15" xfId="0" applyNumberFormat="1" applyFont="1" applyFill="1" applyBorder="1" applyAlignment="1">
      <alignment horizontal="center" wrapText="1"/>
    </xf>
    <xf numFmtId="164" fontId="7" fillId="0" borderId="16" xfId="0" applyNumberFormat="1" applyFont="1" applyFill="1" applyBorder="1"/>
    <xf numFmtId="164" fontId="7" fillId="8" borderId="16" xfId="0" applyNumberFormat="1" applyFont="1" applyFill="1" applyBorder="1"/>
    <xf numFmtId="0" fontId="7" fillId="8" borderId="14" xfId="0" applyFont="1" applyFill="1" applyBorder="1"/>
    <xf numFmtId="164" fontId="7" fillId="9" borderId="14" xfId="0" applyNumberFormat="1" applyFont="1" applyFill="1" applyBorder="1" applyAlignment="1">
      <alignment horizontal="center" wrapText="1"/>
    </xf>
    <xf numFmtId="0" fontId="7" fillId="8" borderId="16" xfId="0" applyFont="1" applyFill="1" applyBorder="1"/>
    <xf numFmtId="164" fontId="7" fillId="11" borderId="16" xfId="0" applyNumberFormat="1" applyFont="1" applyFill="1" applyBorder="1"/>
    <xf numFmtId="164" fontId="8" fillId="13" borderId="15" xfId="0" applyNumberFormat="1" applyFont="1" applyFill="1" applyBorder="1" applyAlignment="1">
      <alignment horizontal="center" wrapText="1"/>
    </xf>
    <xf numFmtId="164" fontId="8" fillId="9" borderId="15" xfId="0" applyNumberFormat="1" applyFont="1" applyFill="1" applyBorder="1" applyAlignment="1">
      <alignment horizontal="center" wrapText="1"/>
    </xf>
    <xf numFmtId="0" fontId="7" fillId="8" borderId="17" xfId="0" applyFont="1" applyFill="1" applyBorder="1"/>
    <xf numFmtId="49" fontId="0" fillId="3" borderId="0" xfId="0" applyNumberFormat="1" applyFill="1"/>
    <xf numFmtId="14" fontId="0" fillId="3" borderId="0" xfId="0" applyNumberFormat="1" applyFill="1"/>
    <xf numFmtId="164" fontId="3" fillId="0" borderId="12" xfId="0" applyNumberFormat="1" applyFont="1" applyFill="1" applyBorder="1" applyAlignment="1">
      <alignment horizontal="center" vertical="center" wrapText="1"/>
    </xf>
    <xf numFmtId="0" fontId="14" fillId="0" borderId="0" xfId="2" applyFont="1"/>
    <xf numFmtId="3" fontId="14" fillId="0" borderId="5" xfId="2" applyNumberFormat="1" applyFont="1" applyBorder="1" applyAlignment="1">
      <alignment vertical="top"/>
    </xf>
    <xf numFmtId="22" fontId="17" fillId="0" borderId="5" xfId="0" applyNumberFormat="1" applyFont="1" applyFill="1" applyBorder="1"/>
    <xf numFmtId="0" fontId="14" fillId="0" borderId="5" xfId="2" applyFont="1" applyBorder="1"/>
    <xf numFmtId="0" fontId="18" fillId="0" borderId="5" xfId="0" applyFont="1" applyBorder="1" applyAlignment="1" applyProtection="1">
      <alignment horizontal="center" vertical="center"/>
    </xf>
    <xf numFmtId="0" fontId="17" fillId="0" borderId="5" xfId="0" applyFont="1" applyBorder="1" applyAlignment="1" applyProtection="1">
      <alignment horizontal="center" vertical="center"/>
    </xf>
    <xf numFmtId="0" fontId="17" fillId="0" borderId="5" xfId="0" applyFont="1" applyBorder="1"/>
    <xf numFmtId="14" fontId="14" fillId="0" borderId="5" xfId="0" applyNumberFormat="1" applyFont="1" applyFill="1" applyBorder="1" applyAlignment="1">
      <alignment horizontal="left" vertical="top"/>
    </xf>
    <xf numFmtId="1" fontId="17" fillId="0" borderId="5" xfId="0" applyNumberFormat="1" applyFont="1" applyBorder="1" applyAlignment="1">
      <alignment horizontal="center"/>
    </xf>
    <xf numFmtId="2" fontId="12" fillId="0" borderId="5" xfId="0" applyNumberFormat="1" applyFont="1" applyFill="1" applyBorder="1" applyAlignment="1" applyProtection="1">
      <alignment wrapText="1"/>
    </xf>
    <xf numFmtId="2" fontId="17" fillId="0" borderId="5" xfId="0" applyNumberFormat="1" applyFont="1" applyBorder="1"/>
    <xf numFmtId="2" fontId="17" fillId="0" borderId="5" xfId="0" applyNumberFormat="1" applyFont="1" applyFill="1" applyBorder="1"/>
    <xf numFmtId="14" fontId="17" fillId="0" borderId="6" xfId="0" applyNumberFormat="1" applyFont="1" applyBorder="1"/>
    <xf numFmtId="0" fontId="17" fillId="0" borderId="6" xfId="0" applyFont="1" applyFill="1" applyBorder="1"/>
    <xf numFmtId="2" fontId="17" fillId="0" borderId="6" xfId="0" applyNumberFormat="1" applyFont="1" applyFill="1" applyBorder="1"/>
    <xf numFmtId="2" fontId="17" fillId="0" borderId="6" xfId="0" applyNumberFormat="1" applyFont="1" applyBorder="1"/>
    <xf numFmtId="0" fontId="17" fillId="0" borderId="0" xfId="0" applyFont="1"/>
    <xf numFmtId="0" fontId="17" fillId="0" borderId="6" xfId="0" applyFont="1" applyBorder="1"/>
    <xf numFmtId="166" fontId="17" fillId="0" borderId="5" xfId="0" applyNumberFormat="1" applyFont="1" applyBorder="1" applyAlignment="1">
      <alignment horizontal="center"/>
    </xf>
    <xf numFmtId="0" fontId="18" fillId="0" borderId="5" xfId="0" applyFont="1" applyFill="1" applyBorder="1" applyAlignment="1" applyProtection="1">
      <alignment horizontal="center" vertical="center"/>
    </xf>
    <xf numFmtId="0" fontId="17" fillId="0" borderId="5" xfId="0" applyFont="1" applyFill="1" applyBorder="1" applyAlignment="1" applyProtection="1">
      <alignment horizontal="center" vertical="center"/>
    </xf>
    <xf numFmtId="0" fontId="17" fillId="0" borderId="13" xfId="0" applyFont="1" applyBorder="1" applyAlignment="1" applyProtection="1">
      <alignment horizontal="center" vertical="center"/>
    </xf>
    <xf numFmtId="166" fontId="17" fillId="0" borderId="5" xfId="0" applyNumberFormat="1" applyFont="1" applyBorder="1"/>
    <xf numFmtId="1" fontId="17" fillId="0" borderId="5" xfId="0" applyNumberFormat="1" applyFont="1" applyBorder="1"/>
    <xf numFmtId="14" fontId="19" fillId="0" borderId="6" xfId="0" applyNumberFormat="1" applyFont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11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49" fontId="21" fillId="3" borderId="0" xfId="0" applyNumberFormat="1" applyFont="1" applyFill="1"/>
    <xf numFmtId="22" fontId="0" fillId="3" borderId="0" xfId="0" applyNumberFormat="1" applyFill="1"/>
    <xf numFmtId="0" fontId="13" fillId="0" borderId="0" xfId="0" applyNumberFormat="1" applyFont="1" applyFill="1" applyBorder="1" applyAlignment="1" applyProtection="1">
      <alignment horizontal="center" wrapText="1"/>
    </xf>
    <xf numFmtId="0" fontId="11" fillId="0" borderId="0" xfId="0" applyFont="1" applyBorder="1" applyAlignment="1">
      <alignment horizontal="center"/>
    </xf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22" fontId="0" fillId="0" borderId="0" xfId="0" applyNumberFormat="1" applyFill="1"/>
    <xf numFmtId="2" fontId="0" fillId="0" borderId="0" xfId="0" applyNumberFormat="1" applyFill="1" applyBorder="1"/>
    <xf numFmtId="2" fontId="0" fillId="0" borderId="0" xfId="0" applyNumberFormat="1" applyFill="1"/>
    <xf numFmtId="22" fontId="9" fillId="0" borderId="0" xfId="0" applyNumberFormat="1" applyFont="1" applyFill="1" applyAlignment="1">
      <alignment horizontal="center"/>
    </xf>
    <xf numFmtId="0" fontId="18" fillId="0" borderId="0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>
      <alignment horizontal="center"/>
    </xf>
    <xf numFmtId="14" fontId="14" fillId="0" borderId="0" xfId="0" applyNumberFormat="1" applyFont="1" applyFill="1" applyBorder="1" applyAlignment="1">
      <alignment horizontal="left" vertical="top"/>
    </xf>
    <xf numFmtId="3" fontId="14" fillId="0" borderId="0" xfId="2" applyNumberFormat="1" applyFont="1" applyBorder="1" applyAlignment="1">
      <alignment vertical="top"/>
    </xf>
    <xf numFmtId="1" fontId="17" fillId="0" borderId="0" xfId="0" applyNumberFormat="1" applyFont="1" applyBorder="1" applyAlignment="1">
      <alignment horizontal="center"/>
    </xf>
    <xf numFmtId="2" fontId="12" fillId="0" borderId="0" xfId="0" applyNumberFormat="1" applyFont="1" applyFill="1" applyBorder="1" applyAlignment="1" applyProtection="1">
      <alignment wrapText="1"/>
    </xf>
    <xf numFmtId="1" fontId="22" fillId="0" borderId="0" xfId="0" applyNumberFormat="1" applyFont="1" applyFill="1" applyBorder="1" applyAlignment="1" applyProtection="1">
      <alignment wrapText="1"/>
    </xf>
    <xf numFmtId="0" fontId="17" fillId="0" borderId="0" xfId="0" applyFont="1" applyBorder="1"/>
    <xf numFmtId="166" fontId="17" fillId="0" borderId="0" xfId="0" applyNumberFormat="1" applyFont="1" applyBorder="1"/>
    <xf numFmtId="1" fontId="17" fillId="0" borderId="0" xfId="0" applyNumberFormat="1" applyFont="1" applyBorder="1"/>
    <xf numFmtId="2" fontId="17" fillId="0" borderId="0" xfId="0" applyNumberFormat="1" applyFont="1" applyBorder="1"/>
    <xf numFmtId="2" fontId="17" fillId="0" borderId="0" xfId="0" applyNumberFormat="1" applyFont="1" applyFill="1" applyBorder="1"/>
    <xf numFmtId="14" fontId="17" fillId="0" borderId="0" xfId="0" applyNumberFormat="1" applyFont="1" applyBorder="1"/>
    <xf numFmtId="22" fontId="17" fillId="0" borderId="0" xfId="0" applyNumberFormat="1" applyFont="1" applyFill="1" applyBorder="1"/>
    <xf numFmtId="0" fontId="17" fillId="0" borderId="0" xfId="0" applyFont="1" applyFill="1" applyBorder="1"/>
    <xf numFmtId="2" fontId="24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/>
    </xf>
    <xf numFmtId="2" fontId="23" fillId="0" borderId="0" xfId="0" applyNumberFormat="1" applyFont="1" applyFill="1" applyAlignment="1">
      <alignment horizontal="center"/>
    </xf>
    <xf numFmtId="14" fontId="0" fillId="0" borderId="5" xfId="0" applyNumberFormat="1" applyBorder="1"/>
    <xf numFmtId="0" fontId="0" fillId="0" borderId="5" xfId="0" applyBorder="1"/>
    <xf numFmtId="1" fontId="25" fillId="0" borderId="5" xfId="0" applyNumberFormat="1" applyFont="1" applyFill="1" applyBorder="1" applyAlignment="1" applyProtection="1">
      <alignment wrapText="1"/>
    </xf>
    <xf numFmtId="2" fontId="17" fillId="0" borderId="5" xfId="0" applyNumberFormat="1" applyFont="1" applyBorder="1" applyAlignment="1">
      <alignment horizontal="center"/>
    </xf>
    <xf numFmtId="166" fontId="12" fillId="0" borderId="5" xfId="0" applyNumberFormat="1" applyFont="1" applyFill="1" applyBorder="1" applyAlignment="1" applyProtection="1">
      <alignment wrapText="1"/>
    </xf>
    <xf numFmtId="2" fontId="3" fillId="0" borderId="19" xfId="0" applyNumberFormat="1" applyFont="1" applyFill="1" applyBorder="1" applyAlignment="1">
      <alignment horizontal="center" vertical="center" wrapText="1"/>
    </xf>
    <xf numFmtId="164" fontId="3" fillId="0" borderId="19" xfId="0" applyNumberFormat="1" applyFont="1" applyFill="1" applyBorder="1" applyAlignment="1">
      <alignment horizontal="center" vertical="center" wrapText="1"/>
    </xf>
    <xf numFmtId="14" fontId="23" fillId="0" borderId="6" xfId="0" applyNumberFormat="1" applyFont="1" applyFill="1" applyBorder="1"/>
    <xf numFmtId="164" fontId="3" fillId="0" borderId="0" xfId="0" applyNumberFormat="1" applyFont="1" applyFill="1" applyBorder="1" applyAlignment="1">
      <alignment horizontal="center" vertical="center" wrapText="1"/>
    </xf>
    <xf numFmtId="0" fontId="18" fillId="0" borderId="6" xfId="0" applyFont="1" applyBorder="1"/>
    <xf numFmtId="0" fontId="19" fillId="0" borderId="6" xfId="0" applyFont="1" applyBorder="1"/>
    <xf numFmtId="0" fontId="19" fillId="0" borderId="5" xfId="0" applyFont="1" applyBorder="1"/>
    <xf numFmtId="0" fontId="10" fillId="0" borderId="0" xfId="0" applyFont="1" applyFill="1" applyAlignment="1">
      <alignment horizontal="left" wrapText="1"/>
    </xf>
    <xf numFmtId="14" fontId="4" fillId="0" borderId="18" xfId="0" applyNumberFormat="1" applyFont="1" applyFill="1" applyBorder="1" applyAlignment="1">
      <alignment horizontal="center"/>
    </xf>
    <xf numFmtId="0" fontId="0" fillId="0" borderId="0" xfId="0" applyFill="1" applyAlignment="1">
      <alignment horizontal="left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6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fr-FR" sz="2000" b="0"/>
              <a:t>Activité des béliers pendant l'effet mâle (La Fage 2023)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003354426232057"/>
          <c:y val="0.11962775602770324"/>
          <c:w val="0.84153435010213229"/>
          <c:h val="0.79052302819689435"/>
        </c:manualLayout>
      </c:layout>
      <c:scatterChart>
        <c:scatterStyle val="lineMarker"/>
        <c:varyColors val="0"/>
        <c:ser>
          <c:idx val="0"/>
          <c:order val="0"/>
          <c:tx>
            <c:v>213665 - Cour</c:v>
          </c:tx>
          <c:spPr>
            <a:ln w="28575">
              <a:solidFill>
                <a:schemeClr val="accent1"/>
              </a:solidFill>
            </a:ln>
          </c:spPr>
          <c:xVal>
            <c:numRef>
              <c:f>'[1]Data Bélier'!$L$2:$L$78</c:f>
              <c:numCache>
                <c:formatCode>General</c:formatCode>
                <c:ptCount val="77"/>
                <c:pt idx="0">
                  <c:v>45113.431307870371</c:v>
                </c:pt>
                <c:pt idx="1">
                  <c:v>45113.431331018517</c:v>
                </c:pt>
                <c:pt idx="2">
                  <c:v>45113.431469907409</c:v>
                </c:pt>
                <c:pt idx="3">
                  <c:v>45113.431493055556</c:v>
                </c:pt>
                <c:pt idx="4">
                  <c:v>45113.43246527778</c:v>
                </c:pt>
                <c:pt idx="5">
                  <c:v>45113.432476851849</c:v>
                </c:pt>
                <c:pt idx="6">
                  <c:v>45113.432511574072</c:v>
                </c:pt>
                <c:pt idx="7">
                  <c:v>45113.432534722226</c:v>
                </c:pt>
                <c:pt idx="8">
                  <c:v>45113.432627314818</c:v>
                </c:pt>
                <c:pt idx="9">
                  <c:v>45113.432673611111</c:v>
                </c:pt>
                <c:pt idx="10">
                  <c:v>45113.432754629626</c:v>
                </c:pt>
                <c:pt idx="11">
                  <c:v>45113.688738425924</c:v>
                </c:pt>
                <c:pt idx="12">
                  <c:v>45113.690300925926</c:v>
                </c:pt>
                <c:pt idx="13">
                  <c:v>45113.71671296296</c:v>
                </c:pt>
                <c:pt idx="14">
                  <c:v>45113.716724537036</c:v>
                </c:pt>
                <c:pt idx="15">
                  <c:v>45113.725381944445</c:v>
                </c:pt>
                <c:pt idx="16">
                  <c:v>45113.726319444446</c:v>
                </c:pt>
                <c:pt idx="17">
                  <c:v>45113.726342592592</c:v>
                </c:pt>
                <c:pt idx="18">
                  <c:v>45113.772002314814</c:v>
                </c:pt>
                <c:pt idx="19">
                  <c:v>45113.772187499999</c:v>
                </c:pt>
                <c:pt idx="20">
                  <c:v>45113.937025462961</c:v>
                </c:pt>
                <c:pt idx="21">
                  <c:v>45113.946377314816</c:v>
                </c:pt>
                <c:pt idx="22">
                  <c:v>45113.967199074075</c:v>
                </c:pt>
                <c:pt idx="23">
                  <c:v>45113.968599537038</c:v>
                </c:pt>
                <c:pt idx="24">
                  <c:v>45113.991527777776</c:v>
                </c:pt>
                <c:pt idx="25">
                  <c:v>45113.995833333334</c:v>
                </c:pt>
                <c:pt idx="26">
                  <c:v>45114.006932870368</c:v>
                </c:pt>
                <c:pt idx="27">
                  <c:v>45114.006990740738</c:v>
                </c:pt>
                <c:pt idx="28">
                  <c:v>45114.0078125</c:v>
                </c:pt>
                <c:pt idx="29">
                  <c:v>45114.007835648146</c:v>
                </c:pt>
                <c:pt idx="30">
                  <c:v>45114.008796296293</c:v>
                </c:pt>
                <c:pt idx="31">
                  <c:v>45114.011504629627</c:v>
                </c:pt>
                <c:pt idx="32">
                  <c:v>45114.012303240743</c:v>
                </c:pt>
                <c:pt idx="33">
                  <c:v>45114.012337962966</c:v>
                </c:pt>
                <c:pt idx="34">
                  <c:v>45114.056064814817</c:v>
                </c:pt>
                <c:pt idx="35">
                  <c:v>45114.062673611108</c:v>
                </c:pt>
                <c:pt idx="36">
                  <c:v>45114.065393518518</c:v>
                </c:pt>
                <c:pt idx="37">
                  <c:v>45114.105439814812</c:v>
                </c:pt>
                <c:pt idx="38">
                  <c:v>45114.130046296297</c:v>
                </c:pt>
                <c:pt idx="39">
                  <c:v>45114.131238425929</c:v>
                </c:pt>
                <c:pt idx="40">
                  <c:v>45114.131284722222</c:v>
                </c:pt>
                <c:pt idx="41">
                  <c:v>45114.146064814813</c:v>
                </c:pt>
                <c:pt idx="42">
                  <c:v>45114.150682870371</c:v>
                </c:pt>
                <c:pt idx="43">
                  <c:v>45114.151504629626</c:v>
                </c:pt>
                <c:pt idx="44">
                  <c:v>45114.15152777778</c:v>
                </c:pt>
                <c:pt idx="45">
                  <c:v>45114.152418981481</c:v>
                </c:pt>
                <c:pt idx="46">
                  <c:v>45114.153240740743</c:v>
                </c:pt>
                <c:pt idx="47">
                  <c:v>45114.154363425929</c:v>
                </c:pt>
                <c:pt idx="48">
                  <c:v>45114.154386574075</c:v>
                </c:pt>
                <c:pt idx="49">
                  <c:v>45114.155428240738</c:v>
                </c:pt>
                <c:pt idx="50">
                  <c:v>45114.157465277778</c:v>
                </c:pt>
                <c:pt idx="51">
                  <c:v>45114.159884259258</c:v>
                </c:pt>
                <c:pt idx="52">
                  <c:v>45114.162395833337</c:v>
                </c:pt>
                <c:pt idx="53">
                  <c:v>45114.163090277776</c:v>
                </c:pt>
                <c:pt idx="54">
                  <c:v>45114.163518518515</c:v>
                </c:pt>
                <c:pt idx="55">
                  <c:v>45114.185162037036</c:v>
                </c:pt>
                <c:pt idx="56">
                  <c:v>45114.51599537037</c:v>
                </c:pt>
                <c:pt idx="57">
                  <c:v>45114.64508101852</c:v>
                </c:pt>
                <c:pt idx="58">
                  <c:v>45114.645462962966</c:v>
                </c:pt>
                <c:pt idx="59">
                  <c:v>45114.645694444444</c:v>
                </c:pt>
                <c:pt idx="60">
                  <c:v>45114.645775462966</c:v>
                </c:pt>
                <c:pt idx="61">
                  <c:v>45114.646331018521</c:v>
                </c:pt>
                <c:pt idx="62">
                  <c:v>45114.64634259259</c:v>
                </c:pt>
                <c:pt idx="63">
                  <c:v>45114.646782407406</c:v>
                </c:pt>
                <c:pt idx="64">
                  <c:v>45114.646990740737</c:v>
                </c:pt>
                <c:pt idx="65">
                  <c:v>45114.647256944445</c:v>
                </c:pt>
                <c:pt idx="66">
                  <c:v>45114.647673611114</c:v>
                </c:pt>
                <c:pt idx="67">
                  <c:v>45114.647696759261</c:v>
                </c:pt>
                <c:pt idx="68">
                  <c:v>45114.647881944446</c:v>
                </c:pt>
                <c:pt idx="69">
                  <c:v>45114.648321759261</c:v>
                </c:pt>
                <c:pt idx="70">
                  <c:v>45114.6484837963</c:v>
                </c:pt>
                <c:pt idx="71">
                  <c:v>45114.649189814816</c:v>
                </c:pt>
                <c:pt idx="72">
                  <c:v>45114.649270833332</c:v>
                </c:pt>
                <c:pt idx="73">
                  <c:v>45114.669537037036</c:v>
                </c:pt>
                <c:pt idx="74">
                  <c:v>45114.743738425925</c:v>
                </c:pt>
                <c:pt idx="75">
                  <c:v>45114.763611111113</c:v>
                </c:pt>
                <c:pt idx="76">
                  <c:v>45115.140462962961</c:v>
                </c:pt>
              </c:numCache>
            </c:numRef>
          </c:xVal>
          <c:yVal>
            <c:numRef>
              <c:f>'[1]Data Bélier'!$M$2:$M$78</c:f>
              <c:numCache>
                <c:formatCode>General</c:formatCod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95-4A44-899B-80B05B51773D}"/>
            </c:ext>
          </c:extLst>
        </c:ser>
        <c:ser>
          <c:idx val="1"/>
          <c:order val="1"/>
          <c:tx>
            <c:v>213777 - Cour</c:v>
          </c:tx>
          <c:xVal>
            <c:numRef>
              <c:f>'[1]Data Bélier'!$L$79:$L$173</c:f>
              <c:numCache>
                <c:formatCode>General</c:formatCode>
                <c:ptCount val="95"/>
                <c:pt idx="0">
                  <c:v>45111.34752314815</c:v>
                </c:pt>
                <c:pt idx="1">
                  <c:v>45111.357986111114</c:v>
                </c:pt>
                <c:pt idx="2">
                  <c:v>45112.28324074074</c:v>
                </c:pt>
                <c:pt idx="3">
                  <c:v>45112.284085648149</c:v>
                </c:pt>
                <c:pt idx="4">
                  <c:v>45112.284375000003</c:v>
                </c:pt>
                <c:pt idx="5">
                  <c:v>45112.284571759257</c:v>
                </c:pt>
                <c:pt idx="6">
                  <c:v>45112.284826388888</c:v>
                </c:pt>
                <c:pt idx="7">
                  <c:v>45112.285185185188</c:v>
                </c:pt>
                <c:pt idx="8">
                  <c:v>45112.285590277781</c:v>
                </c:pt>
                <c:pt idx="9">
                  <c:v>45112.285937499997</c:v>
                </c:pt>
                <c:pt idx="10">
                  <c:v>45112.286643518521</c:v>
                </c:pt>
                <c:pt idx="11">
                  <c:v>45112.286666666667</c:v>
                </c:pt>
                <c:pt idx="12">
                  <c:v>45112.28769675926</c:v>
                </c:pt>
                <c:pt idx="13">
                  <c:v>45112.288090277776</c:v>
                </c:pt>
                <c:pt idx="14">
                  <c:v>45112.292638888888</c:v>
                </c:pt>
                <c:pt idx="15">
                  <c:v>45112.295335648145</c:v>
                </c:pt>
                <c:pt idx="16">
                  <c:v>45112.323784722219</c:v>
                </c:pt>
                <c:pt idx="17">
                  <c:v>45112.323969907404</c:v>
                </c:pt>
                <c:pt idx="18">
                  <c:v>45112.324155092596</c:v>
                </c:pt>
                <c:pt idx="19">
                  <c:v>45112.324340277781</c:v>
                </c:pt>
                <c:pt idx="20">
                  <c:v>45112.324513888889</c:v>
                </c:pt>
                <c:pt idx="21">
                  <c:v>45112.325011574074</c:v>
                </c:pt>
                <c:pt idx="22">
                  <c:v>45112.32503472222</c:v>
                </c:pt>
                <c:pt idx="23">
                  <c:v>45112.325300925928</c:v>
                </c:pt>
                <c:pt idx="24">
                  <c:v>45112.325324074074</c:v>
                </c:pt>
                <c:pt idx="25">
                  <c:v>45112.326018518521</c:v>
                </c:pt>
                <c:pt idx="26">
                  <c:v>45112.327881944446</c:v>
                </c:pt>
                <c:pt idx="27">
                  <c:v>45112.328287037039</c:v>
                </c:pt>
                <c:pt idx="28">
                  <c:v>45112.328796296293</c:v>
                </c:pt>
                <c:pt idx="29">
                  <c:v>45112.329236111109</c:v>
                </c:pt>
                <c:pt idx="30">
                  <c:v>45112.329502314817</c:v>
                </c:pt>
                <c:pt idx="31">
                  <c:v>45112.329965277779</c:v>
                </c:pt>
                <c:pt idx="32">
                  <c:v>45112.331354166665</c:v>
                </c:pt>
                <c:pt idx="33">
                  <c:v>45112.332430555558</c:v>
                </c:pt>
                <c:pt idx="34">
                  <c:v>45112.332939814813</c:v>
                </c:pt>
                <c:pt idx="35">
                  <c:v>45112.333402777775</c:v>
                </c:pt>
                <c:pt idx="36">
                  <c:v>45112.334652777776</c:v>
                </c:pt>
                <c:pt idx="37">
                  <c:v>45112.334976851853</c:v>
                </c:pt>
                <c:pt idx="38">
                  <c:v>45112.336539351854</c:v>
                </c:pt>
                <c:pt idx="39">
                  <c:v>45112.337002314816</c:v>
                </c:pt>
                <c:pt idx="40">
                  <c:v>45112.395937499998</c:v>
                </c:pt>
                <c:pt idx="41">
                  <c:v>45112.398773148147</c:v>
                </c:pt>
                <c:pt idx="42">
                  <c:v>45112.400277777779</c:v>
                </c:pt>
                <c:pt idx="43">
                  <c:v>45112.400289351855</c:v>
                </c:pt>
                <c:pt idx="44">
                  <c:v>45112.401006944441</c:v>
                </c:pt>
                <c:pt idx="45">
                  <c:v>45112.403634259259</c:v>
                </c:pt>
                <c:pt idx="46">
                  <c:v>45112.406307870369</c:v>
                </c:pt>
                <c:pt idx="47">
                  <c:v>45112.406331018516</c:v>
                </c:pt>
                <c:pt idx="48">
                  <c:v>45112.406967592593</c:v>
                </c:pt>
                <c:pt idx="49">
                  <c:v>45112.40724537037</c:v>
                </c:pt>
                <c:pt idx="50">
                  <c:v>45112.413425925923</c:v>
                </c:pt>
                <c:pt idx="51">
                  <c:v>45112.599062499998</c:v>
                </c:pt>
                <c:pt idx="52">
                  <c:v>45112.600243055553</c:v>
                </c:pt>
                <c:pt idx="53">
                  <c:v>45112.601863425924</c:v>
                </c:pt>
                <c:pt idx="54">
                  <c:v>45112.603009259263</c:v>
                </c:pt>
                <c:pt idx="55">
                  <c:v>45112.603449074071</c:v>
                </c:pt>
                <c:pt idx="56">
                  <c:v>45112.77103009259</c:v>
                </c:pt>
                <c:pt idx="57">
                  <c:v>45112.771331018521</c:v>
                </c:pt>
                <c:pt idx="58">
                  <c:v>45112.772627314815</c:v>
                </c:pt>
                <c:pt idx="59">
                  <c:v>45112.775995370372</c:v>
                </c:pt>
                <c:pt idx="60">
                  <c:v>45112.986111111109</c:v>
                </c:pt>
                <c:pt idx="61">
                  <c:v>45113.023159722223</c:v>
                </c:pt>
                <c:pt idx="62">
                  <c:v>45113.559062499997</c:v>
                </c:pt>
                <c:pt idx="63">
                  <c:v>45113.559525462966</c:v>
                </c:pt>
                <c:pt idx="64">
                  <c:v>45113.611909722225</c:v>
                </c:pt>
                <c:pt idx="65">
                  <c:v>45113.689826388887</c:v>
                </c:pt>
                <c:pt idx="66">
                  <c:v>45113.696261574078</c:v>
                </c:pt>
                <c:pt idx="67">
                  <c:v>45113.709143518521</c:v>
                </c:pt>
                <c:pt idx="68">
                  <c:v>45113.736296296294</c:v>
                </c:pt>
                <c:pt idx="69">
                  <c:v>45113.736863425926</c:v>
                </c:pt>
                <c:pt idx="70">
                  <c:v>45113.738125000003</c:v>
                </c:pt>
                <c:pt idx="71">
                  <c:v>45113.804976851854</c:v>
                </c:pt>
                <c:pt idx="72">
                  <c:v>45113.807083333333</c:v>
                </c:pt>
                <c:pt idx="73">
                  <c:v>45113.898553240739</c:v>
                </c:pt>
                <c:pt idx="74">
                  <c:v>45113.899108796293</c:v>
                </c:pt>
                <c:pt idx="75">
                  <c:v>45113.923425925925</c:v>
                </c:pt>
                <c:pt idx="76">
                  <c:v>45113.931550925925</c:v>
                </c:pt>
                <c:pt idx="77">
                  <c:v>45114.008761574078</c:v>
                </c:pt>
                <c:pt idx="78">
                  <c:v>45114.047384259262</c:v>
                </c:pt>
                <c:pt idx="79">
                  <c:v>45114.053159722222</c:v>
                </c:pt>
                <c:pt idx="80">
                  <c:v>45114.057280092595</c:v>
                </c:pt>
                <c:pt idx="81">
                  <c:v>45114.058819444443</c:v>
                </c:pt>
                <c:pt idx="82">
                  <c:v>45114.061168981483</c:v>
                </c:pt>
                <c:pt idx="83">
                  <c:v>45114.064618055556</c:v>
                </c:pt>
                <c:pt idx="84">
                  <c:v>45114.105231481481</c:v>
                </c:pt>
                <c:pt idx="85">
                  <c:v>45114.132245370369</c:v>
                </c:pt>
                <c:pt idx="86">
                  <c:v>45114.238541666666</c:v>
                </c:pt>
                <c:pt idx="87">
                  <c:v>45114.239166666666</c:v>
                </c:pt>
                <c:pt idx="88">
                  <c:v>45114.412766203706</c:v>
                </c:pt>
                <c:pt idx="89">
                  <c:v>45114.448020833333</c:v>
                </c:pt>
                <c:pt idx="90">
                  <c:v>45114.606770833336</c:v>
                </c:pt>
                <c:pt idx="91">
                  <c:v>45115.023969907408</c:v>
                </c:pt>
                <c:pt idx="92">
                  <c:v>45115.047106481485</c:v>
                </c:pt>
                <c:pt idx="93">
                  <c:v>45115.048750000002</c:v>
                </c:pt>
                <c:pt idx="94">
                  <c:v>45115.054247685184</c:v>
                </c:pt>
              </c:numCache>
            </c:numRef>
          </c:xVal>
          <c:yVal>
            <c:numRef>
              <c:f>'[1]Data Bélier'!$M$79:$M$173</c:f>
              <c:numCache>
                <c:formatCode>General</c:formatCode>
                <c:ptCount val="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95-4A44-899B-80B05B51773D}"/>
            </c:ext>
          </c:extLst>
        </c:ser>
        <c:ser>
          <c:idx val="2"/>
          <c:order val="2"/>
          <c:tx>
            <c:v>213668 - Bergerie</c:v>
          </c:tx>
          <c:xVal>
            <c:numRef>
              <c:f>'[1]Data Bélier'!$L$174:$L$192</c:f>
              <c:numCache>
                <c:formatCode>General</c:formatCode>
                <c:ptCount val="19"/>
                <c:pt idx="0">
                  <c:v>45111.357199074075</c:v>
                </c:pt>
                <c:pt idx="1">
                  <c:v>45112.481898148151</c:v>
                </c:pt>
                <c:pt idx="2">
                  <c:v>45112.49728009259</c:v>
                </c:pt>
                <c:pt idx="3">
                  <c:v>45112.497569444444</c:v>
                </c:pt>
                <c:pt idx="4">
                  <c:v>45112.497708333336</c:v>
                </c:pt>
                <c:pt idx="5">
                  <c:v>45112.49895833333</c:v>
                </c:pt>
                <c:pt idx="6">
                  <c:v>45112.503240740742</c:v>
                </c:pt>
                <c:pt idx="7">
                  <c:v>45112.512696759259</c:v>
                </c:pt>
                <c:pt idx="8">
                  <c:v>45112.54347222222</c:v>
                </c:pt>
                <c:pt idx="9">
                  <c:v>45112.543495370373</c:v>
                </c:pt>
                <c:pt idx="10">
                  <c:v>45112.584583333337</c:v>
                </c:pt>
                <c:pt idx="11">
                  <c:v>45112.601030092592</c:v>
                </c:pt>
                <c:pt idx="12">
                  <c:v>45112.606539351851</c:v>
                </c:pt>
                <c:pt idx="13">
                  <c:v>45112.615416666667</c:v>
                </c:pt>
                <c:pt idx="14">
                  <c:v>45112.615694444445</c:v>
                </c:pt>
                <c:pt idx="15">
                  <c:v>45112.748379629629</c:v>
                </c:pt>
                <c:pt idx="16">
                  <c:v>45112.748518518521</c:v>
                </c:pt>
                <c:pt idx="17">
                  <c:v>45112.749594907407</c:v>
                </c:pt>
                <c:pt idx="18">
                  <c:v>45112.749976851854</c:v>
                </c:pt>
              </c:numCache>
            </c:numRef>
          </c:xVal>
          <c:yVal>
            <c:numRef>
              <c:f>'[1]Data Bélier'!$M$174:$M$192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95-4A44-899B-80B05B51773D}"/>
            </c:ext>
          </c:extLst>
        </c:ser>
        <c:ser>
          <c:idx val="3"/>
          <c:order val="3"/>
          <c:tx>
            <c:v>213711 - Bergerie</c:v>
          </c:tx>
          <c:xVal>
            <c:numRef>
              <c:f>'[1]Data Bélier'!$L$193:$L$391</c:f>
              <c:numCache>
                <c:formatCode>General</c:formatCode>
                <c:ptCount val="199"/>
                <c:pt idx="0">
                  <c:v>45111.870462962965</c:v>
                </c:pt>
                <c:pt idx="1">
                  <c:v>45111.877210648148</c:v>
                </c:pt>
                <c:pt idx="2">
                  <c:v>45111.881863425922</c:v>
                </c:pt>
                <c:pt idx="3">
                  <c:v>45111.889768518522</c:v>
                </c:pt>
                <c:pt idx="4">
                  <c:v>45112.30300925926</c:v>
                </c:pt>
                <c:pt idx="5">
                  <c:v>45112.303067129629</c:v>
                </c:pt>
                <c:pt idx="6">
                  <c:v>45112.303263888891</c:v>
                </c:pt>
                <c:pt idx="7">
                  <c:v>45112.303726851853</c:v>
                </c:pt>
                <c:pt idx="8">
                  <c:v>45112.303877314815</c:v>
                </c:pt>
                <c:pt idx="9">
                  <c:v>45112.304328703707</c:v>
                </c:pt>
                <c:pt idx="10">
                  <c:v>45112.304490740738</c:v>
                </c:pt>
                <c:pt idx="11">
                  <c:v>45112.304606481484</c:v>
                </c:pt>
                <c:pt idx="12">
                  <c:v>45112.304664351854</c:v>
                </c:pt>
                <c:pt idx="13">
                  <c:v>45112.305324074077</c:v>
                </c:pt>
                <c:pt idx="14">
                  <c:v>45112.30541666667</c:v>
                </c:pt>
                <c:pt idx="15">
                  <c:v>45112.305567129632</c:v>
                </c:pt>
                <c:pt idx="16">
                  <c:v>45112.308020833334</c:v>
                </c:pt>
                <c:pt idx="17">
                  <c:v>45112.308240740742</c:v>
                </c:pt>
                <c:pt idx="18">
                  <c:v>45112.315127314818</c:v>
                </c:pt>
                <c:pt idx="19">
                  <c:v>45112.315381944441</c:v>
                </c:pt>
                <c:pt idx="20">
                  <c:v>45112.315578703703</c:v>
                </c:pt>
                <c:pt idx="21">
                  <c:v>45112.315659722219</c:v>
                </c:pt>
                <c:pt idx="22">
                  <c:v>45112.621087962965</c:v>
                </c:pt>
                <c:pt idx="23">
                  <c:v>45112.621435185189</c:v>
                </c:pt>
                <c:pt idx="24">
                  <c:v>45112.62300925926</c:v>
                </c:pt>
                <c:pt idx="25">
                  <c:v>45112.623611111114</c:v>
                </c:pt>
                <c:pt idx="26">
                  <c:v>45112.623831018522</c:v>
                </c:pt>
                <c:pt idx="27">
                  <c:v>45112.624386574076</c:v>
                </c:pt>
                <c:pt idx="28">
                  <c:v>45112.624490740738</c:v>
                </c:pt>
                <c:pt idx="29">
                  <c:v>45112.631782407407</c:v>
                </c:pt>
                <c:pt idx="30">
                  <c:v>45112.632754629631</c:v>
                </c:pt>
                <c:pt idx="31">
                  <c:v>45112.632824074077</c:v>
                </c:pt>
                <c:pt idx="32">
                  <c:v>45112.632916666669</c:v>
                </c:pt>
                <c:pt idx="33">
                  <c:v>45112.633576388886</c:v>
                </c:pt>
                <c:pt idx="34">
                  <c:v>45112.633634259262</c:v>
                </c:pt>
                <c:pt idx="35">
                  <c:v>45112.633726851855</c:v>
                </c:pt>
                <c:pt idx="36">
                  <c:v>45112.633993055555</c:v>
                </c:pt>
                <c:pt idx="37">
                  <c:v>45112.634513888886</c:v>
                </c:pt>
                <c:pt idx="38">
                  <c:v>45112.634965277779</c:v>
                </c:pt>
                <c:pt idx="39">
                  <c:v>45112.635312500002</c:v>
                </c:pt>
                <c:pt idx="40">
                  <c:v>45112.635682870372</c:v>
                </c:pt>
                <c:pt idx="41">
                  <c:v>45112.637071759258</c:v>
                </c:pt>
                <c:pt idx="42">
                  <c:v>45112.637731481482</c:v>
                </c:pt>
                <c:pt idx="43">
                  <c:v>45112.637777777774</c:v>
                </c:pt>
                <c:pt idx="44">
                  <c:v>45112.638182870367</c:v>
                </c:pt>
                <c:pt idx="45">
                  <c:v>45112.640497685185</c:v>
                </c:pt>
                <c:pt idx="46">
                  <c:v>45112.640613425923</c:v>
                </c:pt>
                <c:pt idx="47">
                  <c:v>45112.663032407407</c:v>
                </c:pt>
                <c:pt idx="48">
                  <c:v>45112.663101851853</c:v>
                </c:pt>
                <c:pt idx="49">
                  <c:v>45112.663263888891</c:v>
                </c:pt>
                <c:pt idx="50">
                  <c:v>45112.68608796296</c:v>
                </c:pt>
                <c:pt idx="51">
                  <c:v>45112.68644675926</c:v>
                </c:pt>
                <c:pt idx="52">
                  <c:v>45112.686631944445</c:v>
                </c:pt>
                <c:pt idx="53">
                  <c:v>45112.690335648149</c:v>
                </c:pt>
                <c:pt idx="54">
                  <c:v>45112.692511574074</c:v>
                </c:pt>
                <c:pt idx="55">
                  <c:v>45112.702800925923</c:v>
                </c:pt>
                <c:pt idx="56">
                  <c:v>45112.703043981484</c:v>
                </c:pt>
                <c:pt idx="57">
                  <c:v>45112.703611111108</c:v>
                </c:pt>
                <c:pt idx="58">
                  <c:v>45112.703900462962</c:v>
                </c:pt>
                <c:pt idx="59">
                  <c:v>45112.703993055555</c:v>
                </c:pt>
                <c:pt idx="60">
                  <c:v>45112.705787037034</c:v>
                </c:pt>
                <c:pt idx="61">
                  <c:v>45112.712800925925</c:v>
                </c:pt>
                <c:pt idx="62">
                  <c:v>45112.715381944443</c:v>
                </c:pt>
                <c:pt idx="63">
                  <c:v>45112.719548611109</c:v>
                </c:pt>
                <c:pt idx="64">
                  <c:v>45112.755567129629</c:v>
                </c:pt>
                <c:pt idx="65">
                  <c:v>45112.785787037035</c:v>
                </c:pt>
                <c:pt idx="66">
                  <c:v>45112.786030092589</c:v>
                </c:pt>
                <c:pt idx="67">
                  <c:v>45112.786180555559</c:v>
                </c:pt>
                <c:pt idx="68">
                  <c:v>45112.788773148146</c:v>
                </c:pt>
                <c:pt idx="69">
                  <c:v>45112.788807870369</c:v>
                </c:pt>
                <c:pt idx="70">
                  <c:v>45112.788981481484</c:v>
                </c:pt>
                <c:pt idx="71">
                  <c:v>45112.789525462962</c:v>
                </c:pt>
                <c:pt idx="72">
                  <c:v>45112.789571759262</c:v>
                </c:pt>
                <c:pt idx="73">
                  <c:v>45112.790335648147</c:v>
                </c:pt>
                <c:pt idx="74">
                  <c:v>45112.790972222225</c:v>
                </c:pt>
                <c:pt idx="75">
                  <c:v>45112.791122685187</c:v>
                </c:pt>
                <c:pt idx="76">
                  <c:v>45112.791516203702</c:v>
                </c:pt>
                <c:pt idx="77">
                  <c:v>45112.791574074072</c:v>
                </c:pt>
                <c:pt idx="78">
                  <c:v>45112.932523148149</c:v>
                </c:pt>
                <c:pt idx="79">
                  <c:v>45112.932546296295</c:v>
                </c:pt>
                <c:pt idx="80">
                  <c:v>45113.00953703704</c:v>
                </c:pt>
                <c:pt idx="81">
                  <c:v>45113.019502314812</c:v>
                </c:pt>
                <c:pt idx="82">
                  <c:v>45113.022060185183</c:v>
                </c:pt>
                <c:pt idx="83">
                  <c:v>45113.023182870369</c:v>
                </c:pt>
                <c:pt idx="84">
                  <c:v>45113.023206018515</c:v>
                </c:pt>
                <c:pt idx="85">
                  <c:v>45113.024537037039</c:v>
                </c:pt>
                <c:pt idx="86">
                  <c:v>45113.037106481483</c:v>
                </c:pt>
                <c:pt idx="87">
                  <c:v>45113.037141203706</c:v>
                </c:pt>
                <c:pt idx="88">
                  <c:v>45113.039768518516</c:v>
                </c:pt>
                <c:pt idx="89">
                  <c:v>45113.079247685186</c:v>
                </c:pt>
                <c:pt idx="90">
                  <c:v>45113.079293981478</c:v>
                </c:pt>
                <c:pt idx="91">
                  <c:v>45113.079861111109</c:v>
                </c:pt>
                <c:pt idx="92">
                  <c:v>45113.084583333337</c:v>
                </c:pt>
                <c:pt idx="93">
                  <c:v>45113.084618055553</c:v>
                </c:pt>
                <c:pt idx="94">
                  <c:v>45113.122650462959</c:v>
                </c:pt>
                <c:pt idx="95">
                  <c:v>45113.124930555554</c:v>
                </c:pt>
                <c:pt idx="96">
                  <c:v>45113.190023148149</c:v>
                </c:pt>
                <c:pt idx="97">
                  <c:v>45113.19122685185</c:v>
                </c:pt>
                <c:pt idx="98">
                  <c:v>45113.191550925927</c:v>
                </c:pt>
                <c:pt idx="99">
                  <c:v>45113.19222222222</c:v>
                </c:pt>
                <c:pt idx="100">
                  <c:v>45113.192835648151</c:v>
                </c:pt>
                <c:pt idx="101">
                  <c:v>45113.193240740744</c:v>
                </c:pt>
                <c:pt idx="102">
                  <c:v>45113.194548611114</c:v>
                </c:pt>
                <c:pt idx="103">
                  <c:v>45113.194733796299</c:v>
                </c:pt>
                <c:pt idx="104">
                  <c:v>45113.194907407407</c:v>
                </c:pt>
                <c:pt idx="105">
                  <c:v>45113.197604166664</c:v>
                </c:pt>
                <c:pt idx="106">
                  <c:v>45113.197905092595</c:v>
                </c:pt>
                <c:pt idx="107">
                  <c:v>45113.19835648148</c:v>
                </c:pt>
                <c:pt idx="108">
                  <c:v>45113.198842592596</c:v>
                </c:pt>
                <c:pt idx="109">
                  <c:v>45113.198865740742</c:v>
                </c:pt>
                <c:pt idx="110">
                  <c:v>45113.199004629627</c:v>
                </c:pt>
                <c:pt idx="111">
                  <c:v>45113.199178240742</c:v>
                </c:pt>
                <c:pt idx="112">
                  <c:v>45113.199201388888</c:v>
                </c:pt>
                <c:pt idx="113">
                  <c:v>45113.199490740742</c:v>
                </c:pt>
                <c:pt idx="114">
                  <c:v>45113.200671296298</c:v>
                </c:pt>
                <c:pt idx="115">
                  <c:v>45113.200844907406</c:v>
                </c:pt>
                <c:pt idx="116">
                  <c:v>45113.201701388891</c:v>
                </c:pt>
                <c:pt idx="117">
                  <c:v>45113.20171296296</c:v>
                </c:pt>
                <c:pt idx="118">
                  <c:v>45113.201898148145</c:v>
                </c:pt>
                <c:pt idx="119">
                  <c:v>45113.202210648145</c:v>
                </c:pt>
                <c:pt idx="120">
                  <c:v>45113.202222222222</c:v>
                </c:pt>
                <c:pt idx="121">
                  <c:v>45113.202476851853</c:v>
                </c:pt>
                <c:pt idx="122">
                  <c:v>45113.202719907407</c:v>
                </c:pt>
                <c:pt idx="123">
                  <c:v>45113.202743055554</c:v>
                </c:pt>
                <c:pt idx="124">
                  <c:v>45113.203287037039</c:v>
                </c:pt>
                <c:pt idx="125">
                  <c:v>45113.203668981485</c:v>
                </c:pt>
                <c:pt idx="126">
                  <c:v>45113.204108796293</c:v>
                </c:pt>
                <c:pt idx="127">
                  <c:v>45113.204386574071</c:v>
                </c:pt>
                <c:pt idx="128">
                  <c:v>45113.205613425926</c:v>
                </c:pt>
                <c:pt idx="129">
                  <c:v>45113.209189814814</c:v>
                </c:pt>
                <c:pt idx="130">
                  <c:v>45113.209201388891</c:v>
                </c:pt>
                <c:pt idx="131">
                  <c:v>45113.285856481481</c:v>
                </c:pt>
                <c:pt idx="132">
                  <c:v>45113.289641203701</c:v>
                </c:pt>
                <c:pt idx="133">
                  <c:v>45113.29005787037</c:v>
                </c:pt>
                <c:pt idx="134">
                  <c:v>45113.290081018517</c:v>
                </c:pt>
                <c:pt idx="135">
                  <c:v>45113.293622685182</c:v>
                </c:pt>
                <c:pt idx="136">
                  <c:v>45113.397291666668</c:v>
                </c:pt>
                <c:pt idx="137">
                  <c:v>45113.397349537037</c:v>
                </c:pt>
                <c:pt idx="138">
                  <c:v>45113.399062500001</c:v>
                </c:pt>
                <c:pt idx="139">
                  <c:v>45113.400787037041</c:v>
                </c:pt>
                <c:pt idx="140">
                  <c:v>45113.401782407411</c:v>
                </c:pt>
                <c:pt idx="141">
                  <c:v>45113.40420138889</c:v>
                </c:pt>
                <c:pt idx="142">
                  <c:v>45113.409768518519</c:v>
                </c:pt>
                <c:pt idx="143">
                  <c:v>45113.442708333336</c:v>
                </c:pt>
                <c:pt idx="144">
                  <c:v>45113.443692129629</c:v>
                </c:pt>
                <c:pt idx="145">
                  <c:v>45113.4453587963</c:v>
                </c:pt>
                <c:pt idx="146">
                  <c:v>45113.445381944446</c:v>
                </c:pt>
                <c:pt idx="147">
                  <c:v>45113.446331018517</c:v>
                </c:pt>
                <c:pt idx="148">
                  <c:v>45113.450312499997</c:v>
                </c:pt>
                <c:pt idx="149">
                  <c:v>45113.532719907409</c:v>
                </c:pt>
                <c:pt idx="150">
                  <c:v>45113.568935185183</c:v>
                </c:pt>
                <c:pt idx="151">
                  <c:v>45113.570335648146</c:v>
                </c:pt>
                <c:pt idx="152">
                  <c:v>45113.572974537034</c:v>
                </c:pt>
                <c:pt idx="153">
                  <c:v>45113.573009259257</c:v>
                </c:pt>
                <c:pt idx="154">
                  <c:v>45113.577499999999</c:v>
                </c:pt>
                <c:pt idx="155">
                  <c:v>45113.577962962961</c:v>
                </c:pt>
                <c:pt idx="156">
                  <c:v>45113.577974537038</c:v>
                </c:pt>
                <c:pt idx="157">
                  <c:v>45113.578564814816</c:v>
                </c:pt>
                <c:pt idx="158">
                  <c:v>45113.578842592593</c:v>
                </c:pt>
                <c:pt idx="159">
                  <c:v>45113.659039351849</c:v>
                </c:pt>
                <c:pt idx="160">
                  <c:v>45113.659537037034</c:v>
                </c:pt>
                <c:pt idx="161">
                  <c:v>45113.663078703707</c:v>
                </c:pt>
                <c:pt idx="162">
                  <c:v>45113.66369212963</c:v>
                </c:pt>
                <c:pt idx="163">
                  <c:v>45113.682060185187</c:v>
                </c:pt>
                <c:pt idx="164">
                  <c:v>45113.682314814818</c:v>
                </c:pt>
                <c:pt idx="165">
                  <c:v>45113.683148148149</c:v>
                </c:pt>
                <c:pt idx="166">
                  <c:v>45113.68378472222</c:v>
                </c:pt>
                <c:pt idx="167">
                  <c:v>45113.684918981482</c:v>
                </c:pt>
                <c:pt idx="168">
                  <c:v>45113.686064814814</c:v>
                </c:pt>
                <c:pt idx="169">
                  <c:v>45113.688935185186</c:v>
                </c:pt>
                <c:pt idx="170">
                  <c:v>45113.689143518517</c:v>
                </c:pt>
                <c:pt idx="171">
                  <c:v>45113.689363425925</c:v>
                </c:pt>
                <c:pt idx="172">
                  <c:v>45113.708668981482</c:v>
                </c:pt>
                <c:pt idx="173">
                  <c:v>45113.709699074076</c:v>
                </c:pt>
                <c:pt idx="174">
                  <c:v>45113.837546296294</c:v>
                </c:pt>
                <c:pt idx="175">
                  <c:v>45113.846747685187</c:v>
                </c:pt>
                <c:pt idx="176">
                  <c:v>45113.847037037034</c:v>
                </c:pt>
                <c:pt idx="177">
                  <c:v>45113.848749999997</c:v>
                </c:pt>
                <c:pt idx="178">
                  <c:v>45113.849965277775</c:v>
                </c:pt>
                <c:pt idx="179">
                  <c:v>45113.849988425929</c:v>
                </c:pt>
                <c:pt idx="180">
                  <c:v>45113.850266203706</c:v>
                </c:pt>
                <c:pt idx="181">
                  <c:v>45113.850428240738</c:v>
                </c:pt>
                <c:pt idx="182">
                  <c:v>45113.850555555553</c:v>
                </c:pt>
                <c:pt idx="183">
                  <c:v>45113.850798611114</c:v>
                </c:pt>
                <c:pt idx="184">
                  <c:v>45113.851168981484</c:v>
                </c:pt>
                <c:pt idx="185">
                  <c:v>45113.851400462961</c:v>
                </c:pt>
                <c:pt idx="186">
                  <c:v>45113.861226851855</c:v>
                </c:pt>
                <c:pt idx="187">
                  <c:v>45113.892812500002</c:v>
                </c:pt>
                <c:pt idx="188">
                  <c:v>45113.89329861111</c:v>
                </c:pt>
                <c:pt idx="189">
                  <c:v>45113.89340277778</c:v>
                </c:pt>
                <c:pt idx="190">
                  <c:v>45113.894155092596</c:v>
                </c:pt>
                <c:pt idx="191">
                  <c:v>45113.894490740742</c:v>
                </c:pt>
                <c:pt idx="192">
                  <c:v>45113.908182870371</c:v>
                </c:pt>
                <c:pt idx="193">
                  <c:v>45113.908368055556</c:v>
                </c:pt>
                <c:pt idx="194">
                  <c:v>45114.277708333335</c:v>
                </c:pt>
                <c:pt idx="195">
                  <c:v>45114.279768518521</c:v>
                </c:pt>
                <c:pt idx="196">
                  <c:v>45114.279918981483</c:v>
                </c:pt>
                <c:pt idx="197">
                  <c:v>45114.280185185184</c:v>
                </c:pt>
                <c:pt idx="198">
                  <c:v>45114.2809375</c:v>
                </c:pt>
              </c:numCache>
            </c:numRef>
          </c:xVal>
          <c:yVal>
            <c:numRef>
              <c:f>'[1]Data Bélier'!$M$193:$M$391</c:f>
              <c:numCache>
                <c:formatCode>General</c:formatCode>
                <c:ptCount val="1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95-4A44-899B-80B05B517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895583"/>
        <c:axId val="1"/>
      </c:scatterChart>
      <c:valAx>
        <c:axId val="2052895583"/>
        <c:scaling>
          <c:orientation val="minMax"/>
          <c:min val="45111.334000000003"/>
        </c:scaling>
        <c:delete val="0"/>
        <c:axPos val="b"/>
        <c:numFmt formatCode="d/m\ h:mm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fr-FR" sz="1800" b="0"/>
                  <a:t>Nb lectures cumulées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fr-FR"/>
          </a:p>
        </c:txPr>
        <c:crossAx val="205289558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549787362824137"/>
          <c:y val="0.12477106376297596"/>
          <c:w val="0.23075693714181489"/>
          <c:h val="0.1418435382144396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 (La Fage 2023)</a:t>
            </a:r>
          </a:p>
        </c:rich>
      </c:tx>
      <c:layout>
        <c:manualLayout>
          <c:xMode val="edge"/>
          <c:yMode val="edge"/>
          <c:x val="0.37596754789537562"/>
          <c:y val="2.0661157024793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91649918167811E-2"/>
          <c:y val="6.1131763733994218E-2"/>
          <c:w val="0.88910467945061367"/>
          <c:h val="0.79796203539073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'[1]Data Brebis Points rouges'!$H$2</c:f>
              <c:strCache>
                <c:ptCount val="1"/>
                <c:pt idx="0">
                  <c:v>155000025392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dPt>
            <c:idx val="1"/>
            <c:marker>
              <c:spPr>
                <a:solidFill>
                  <a:sysClr val="window" lastClr="FFFFFF">
                    <a:lumMod val="85000"/>
                  </a:sysClr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080-47D8-A8BA-892A612A0B8F}"/>
              </c:ext>
            </c:extLst>
          </c:dPt>
          <c:dPt>
            <c:idx val="2"/>
            <c:marker>
              <c:spPr>
                <a:solidFill>
                  <a:sysClr val="window" lastClr="FFFFFF">
                    <a:lumMod val="85000"/>
                  </a:sysClr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080-47D8-A8BA-892A612A0B8F}"/>
              </c:ext>
            </c:extLst>
          </c:dPt>
          <c:xVal>
            <c:numRef>
              <c:f>'[1]Data Brebis Points rouges'!$M$2:$M$19</c:f>
              <c:numCache>
                <c:formatCode>General</c:formatCode>
                <c:ptCount val="18"/>
                <c:pt idx="0">
                  <c:v>45111.34752314815</c:v>
                </c:pt>
                <c:pt idx="1">
                  <c:v>45113.559062499997</c:v>
                </c:pt>
                <c:pt idx="2">
                  <c:v>45114.062673611108</c:v>
                </c:pt>
                <c:pt idx="3">
                  <c:v>45114.065393518518</c:v>
                </c:pt>
                <c:pt idx="4">
                  <c:v>45114.105439814812</c:v>
                </c:pt>
                <c:pt idx="5">
                  <c:v>45114.146064814813</c:v>
                </c:pt>
                <c:pt idx="6">
                  <c:v>45114.150682870371</c:v>
                </c:pt>
                <c:pt idx="7">
                  <c:v>45114.151504629626</c:v>
                </c:pt>
                <c:pt idx="8">
                  <c:v>45114.15152777778</c:v>
                </c:pt>
                <c:pt idx="9">
                  <c:v>45114.153240740743</c:v>
                </c:pt>
                <c:pt idx="10">
                  <c:v>45114.154363425929</c:v>
                </c:pt>
                <c:pt idx="11">
                  <c:v>45114.154386574075</c:v>
                </c:pt>
                <c:pt idx="12">
                  <c:v>45114.155428240738</c:v>
                </c:pt>
                <c:pt idx="13">
                  <c:v>45114.157465277778</c:v>
                </c:pt>
                <c:pt idx="14">
                  <c:v>45114.159884259258</c:v>
                </c:pt>
                <c:pt idx="15">
                  <c:v>45114.162395833337</c:v>
                </c:pt>
                <c:pt idx="16">
                  <c:v>45114.163090277776</c:v>
                </c:pt>
                <c:pt idx="17">
                  <c:v>45114.163518518515</c:v>
                </c:pt>
              </c:numCache>
            </c:numRef>
          </c:xVal>
          <c:yVal>
            <c:numRef>
              <c:f>'[1]Data Brebis Points rouges'!$N$3:$N$19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4-435A-97C3-E50256186F47}"/>
            </c:ext>
          </c:extLst>
        </c:ser>
        <c:ser>
          <c:idx val="1"/>
          <c:order val="1"/>
          <c:tx>
            <c:strRef>
              <c:f>'[1]Data Brebis Points rouges'!$H$20</c:f>
              <c:strCache>
                <c:ptCount val="1"/>
                <c:pt idx="0">
                  <c:v>155000025230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rouges'!$M$20:$M$22</c:f>
              <c:numCache>
                <c:formatCode>General</c:formatCode>
                <c:ptCount val="3"/>
                <c:pt idx="0">
                  <c:v>45111.357199074075</c:v>
                </c:pt>
                <c:pt idx="1">
                  <c:v>45113.4453587963</c:v>
                </c:pt>
                <c:pt idx="2">
                  <c:v>45113.445381944446</c:v>
                </c:pt>
              </c:numCache>
            </c:numRef>
          </c:xVal>
          <c:yVal>
            <c:numRef>
              <c:f>'[1]Data Brebis Points rouges'!$N$20:$N$22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4-435A-97C3-E50256186F47}"/>
            </c:ext>
          </c:extLst>
        </c:ser>
        <c:ser>
          <c:idx val="2"/>
          <c:order val="2"/>
          <c:tx>
            <c:strRef>
              <c:f>'[1]Data Brebis Points rouges'!$H$23</c:f>
              <c:strCache>
                <c:ptCount val="1"/>
                <c:pt idx="0">
                  <c:v>155000025376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rouges'!$M$23:$M$28</c:f>
              <c:numCache>
                <c:formatCode>General</c:formatCode>
                <c:ptCount val="6"/>
                <c:pt idx="0">
                  <c:v>45111.357986111114</c:v>
                </c:pt>
                <c:pt idx="1">
                  <c:v>45115.023969907408</c:v>
                </c:pt>
                <c:pt idx="2">
                  <c:v>45115.047106481485</c:v>
                </c:pt>
                <c:pt idx="3">
                  <c:v>45115.048750000002</c:v>
                </c:pt>
                <c:pt idx="4">
                  <c:v>45115.054247685184</c:v>
                </c:pt>
                <c:pt idx="5">
                  <c:v>45115.140462962961</c:v>
                </c:pt>
              </c:numCache>
            </c:numRef>
          </c:xVal>
          <c:yVal>
            <c:numRef>
              <c:f>'[1]Data Brebis Points rouges'!$N$23:$N$28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04-435A-97C3-E50256186F47}"/>
            </c:ext>
          </c:extLst>
        </c:ser>
        <c:ser>
          <c:idx val="3"/>
          <c:order val="3"/>
          <c:tx>
            <c:strRef>
              <c:f>'[1]Data Brebis Points rouges'!$H$29</c:f>
              <c:strCache>
                <c:ptCount val="1"/>
                <c:pt idx="0">
                  <c:v>155000025701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rouges'!$M$29:$M$36</c:f>
              <c:numCache>
                <c:formatCode>General</c:formatCode>
                <c:ptCount val="8"/>
                <c:pt idx="0">
                  <c:v>45111.870462962965</c:v>
                </c:pt>
                <c:pt idx="1">
                  <c:v>45111.877210648148</c:v>
                </c:pt>
                <c:pt idx="2">
                  <c:v>45111.889768518522</c:v>
                </c:pt>
                <c:pt idx="3">
                  <c:v>45113.401782407411</c:v>
                </c:pt>
                <c:pt idx="4">
                  <c:v>45113.40420138889</c:v>
                </c:pt>
                <c:pt idx="5">
                  <c:v>45113.568935185183</c:v>
                </c:pt>
                <c:pt idx="6">
                  <c:v>45113.578842592593</c:v>
                </c:pt>
                <c:pt idx="7">
                  <c:v>45113.684918981482</c:v>
                </c:pt>
              </c:numCache>
            </c:numRef>
          </c:xVal>
          <c:yVal>
            <c:numRef>
              <c:f>'[1]Data Brebis Points rouges'!$N$29:$N$36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4-435A-97C3-E50256186F47}"/>
            </c:ext>
          </c:extLst>
        </c:ser>
        <c:ser>
          <c:idx val="4"/>
          <c:order val="4"/>
          <c:tx>
            <c:strRef>
              <c:f>'[1]Data Brebis Points rouges'!$H$37</c:f>
              <c:strCache>
                <c:ptCount val="1"/>
                <c:pt idx="0">
                  <c:v>155000025741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rouges'!$M$37</c:f>
              <c:numCache>
                <c:formatCode>General</c:formatCode>
                <c:ptCount val="1"/>
                <c:pt idx="0">
                  <c:v>45111.881863425922</c:v>
                </c:pt>
              </c:numCache>
            </c:numRef>
          </c:xVal>
          <c:yVal>
            <c:numRef>
              <c:f>'[1]Data Brebis Points rouges'!$N$37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04-435A-97C3-E50256186F47}"/>
            </c:ext>
          </c:extLst>
        </c:ser>
        <c:ser>
          <c:idx val="5"/>
          <c:order val="5"/>
          <c:tx>
            <c:strRef>
              <c:f>'[1]Data Brebis Points rouges'!$H$38</c:f>
              <c:strCache>
                <c:ptCount val="1"/>
                <c:pt idx="0">
                  <c:v>155000025923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rouges'!$M$38:$M$85</c:f>
              <c:numCache>
                <c:formatCode>General</c:formatCode>
                <c:ptCount val="48"/>
                <c:pt idx="0">
                  <c:v>45112.28324074074</c:v>
                </c:pt>
                <c:pt idx="1">
                  <c:v>45112.284085648149</c:v>
                </c:pt>
                <c:pt idx="2">
                  <c:v>45112.284375000003</c:v>
                </c:pt>
                <c:pt idx="3">
                  <c:v>45112.284571759257</c:v>
                </c:pt>
                <c:pt idx="4">
                  <c:v>45112.284826388888</c:v>
                </c:pt>
                <c:pt idx="5">
                  <c:v>45112.285185185188</c:v>
                </c:pt>
                <c:pt idx="6">
                  <c:v>45112.285590277781</c:v>
                </c:pt>
                <c:pt idx="7">
                  <c:v>45112.285937499997</c:v>
                </c:pt>
                <c:pt idx="8">
                  <c:v>45112.286643518521</c:v>
                </c:pt>
                <c:pt idx="9">
                  <c:v>45112.286666666667</c:v>
                </c:pt>
                <c:pt idx="10">
                  <c:v>45112.28769675926</c:v>
                </c:pt>
                <c:pt idx="11">
                  <c:v>45112.288090277776</c:v>
                </c:pt>
                <c:pt idx="12">
                  <c:v>45112.292638888888</c:v>
                </c:pt>
                <c:pt idx="13">
                  <c:v>45112.323784722219</c:v>
                </c:pt>
                <c:pt idx="14">
                  <c:v>45112.323969907404</c:v>
                </c:pt>
                <c:pt idx="15">
                  <c:v>45112.324155092596</c:v>
                </c:pt>
                <c:pt idx="16">
                  <c:v>45112.324340277781</c:v>
                </c:pt>
                <c:pt idx="17">
                  <c:v>45112.324513888889</c:v>
                </c:pt>
                <c:pt idx="18">
                  <c:v>45112.325011574074</c:v>
                </c:pt>
                <c:pt idx="19">
                  <c:v>45112.32503472222</c:v>
                </c:pt>
                <c:pt idx="20">
                  <c:v>45112.325300925928</c:v>
                </c:pt>
                <c:pt idx="21">
                  <c:v>45112.325324074074</c:v>
                </c:pt>
                <c:pt idx="22">
                  <c:v>45112.326018518521</c:v>
                </c:pt>
                <c:pt idx="23">
                  <c:v>45112.327881944446</c:v>
                </c:pt>
                <c:pt idx="24">
                  <c:v>45112.328287037039</c:v>
                </c:pt>
                <c:pt idx="25">
                  <c:v>45112.328796296293</c:v>
                </c:pt>
                <c:pt idx="26">
                  <c:v>45112.329236111109</c:v>
                </c:pt>
                <c:pt idx="27">
                  <c:v>45112.329502314817</c:v>
                </c:pt>
                <c:pt idx="28">
                  <c:v>45112.329965277779</c:v>
                </c:pt>
                <c:pt idx="29">
                  <c:v>45112.331354166665</c:v>
                </c:pt>
                <c:pt idx="30">
                  <c:v>45112.332430555558</c:v>
                </c:pt>
                <c:pt idx="31">
                  <c:v>45112.332939814813</c:v>
                </c:pt>
                <c:pt idx="32">
                  <c:v>45112.333402777775</c:v>
                </c:pt>
                <c:pt idx="33">
                  <c:v>45112.334652777776</c:v>
                </c:pt>
                <c:pt idx="34">
                  <c:v>45112.334976851853</c:v>
                </c:pt>
                <c:pt idx="35">
                  <c:v>45112.336539351854</c:v>
                </c:pt>
                <c:pt idx="36">
                  <c:v>45112.337002314816</c:v>
                </c:pt>
                <c:pt idx="37">
                  <c:v>45112.395937499998</c:v>
                </c:pt>
                <c:pt idx="38">
                  <c:v>45112.398773148147</c:v>
                </c:pt>
                <c:pt idx="39">
                  <c:v>45112.400277777779</c:v>
                </c:pt>
                <c:pt idx="40">
                  <c:v>45112.400289351855</c:v>
                </c:pt>
                <c:pt idx="41">
                  <c:v>45112.401006944441</c:v>
                </c:pt>
                <c:pt idx="42">
                  <c:v>45112.403634259259</c:v>
                </c:pt>
                <c:pt idx="43">
                  <c:v>45113.688738425924</c:v>
                </c:pt>
                <c:pt idx="44">
                  <c:v>45113.690300925926</c:v>
                </c:pt>
                <c:pt idx="45">
                  <c:v>45113.725381944445</c:v>
                </c:pt>
                <c:pt idx="46">
                  <c:v>45113.726319444446</c:v>
                </c:pt>
                <c:pt idx="47">
                  <c:v>45113.726342592592</c:v>
                </c:pt>
              </c:numCache>
            </c:numRef>
          </c:xVal>
          <c:yVal>
            <c:numRef>
              <c:f>'[1]Data Brebis Points rouges'!$N$38:$N$85</c:f>
              <c:numCache>
                <c:formatCode>General</c:formatCode>
                <c:ptCount val="4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04-435A-97C3-E50256186F47}"/>
            </c:ext>
          </c:extLst>
        </c:ser>
        <c:ser>
          <c:idx val="6"/>
          <c:order val="6"/>
          <c:tx>
            <c:strRef>
              <c:f>'[1]Data Brebis Points rouges'!$H$86</c:f>
              <c:strCache>
                <c:ptCount val="1"/>
                <c:pt idx="0">
                  <c:v>155000025916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rouges'!$M$86:$M$88</c:f>
              <c:numCache>
                <c:formatCode>General</c:formatCode>
                <c:ptCount val="3"/>
                <c:pt idx="0">
                  <c:v>45112.295335648145</c:v>
                </c:pt>
                <c:pt idx="1">
                  <c:v>45114.0078125</c:v>
                </c:pt>
                <c:pt idx="2">
                  <c:v>45114.007835648146</c:v>
                </c:pt>
              </c:numCache>
            </c:numRef>
          </c:xVal>
          <c:yVal>
            <c:numRef>
              <c:f>'[1]Data Brebis Points rouges'!$N$86:$N$88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04-435A-97C3-E50256186F47}"/>
            </c:ext>
          </c:extLst>
        </c:ser>
        <c:ser>
          <c:idx val="7"/>
          <c:order val="7"/>
          <c:tx>
            <c:strRef>
              <c:f>'[1]Data Brebis Points rouges'!$H$89</c:f>
              <c:strCache>
                <c:ptCount val="1"/>
                <c:pt idx="0">
                  <c:v>155000025276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rouges'!$M$89:$M$130</c:f>
              <c:numCache>
                <c:formatCode>General</c:formatCode>
                <c:ptCount val="42"/>
                <c:pt idx="0">
                  <c:v>45112.30300925926</c:v>
                </c:pt>
                <c:pt idx="1">
                  <c:v>45112.303067129629</c:v>
                </c:pt>
                <c:pt idx="2">
                  <c:v>45112.303263888891</c:v>
                </c:pt>
                <c:pt idx="3">
                  <c:v>45112.303726851853</c:v>
                </c:pt>
                <c:pt idx="4">
                  <c:v>45112.303877314815</c:v>
                </c:pt>
                <c:pt idx="5">
                  <c:v>45112.304328703707</c:v>
                </c:pt>
                <c:pt idx="6">
                  <c:v>45112.304490740738</c:v>
                </c:pt>
                <c:pt idx="7">
                  <c:v>45112.304606481484</c:v>
                </c:pt>
                <c:pt idx="8">
                  <c:v>45112.304664351854</c:v>
                </c:pt>
                <c:pt idx="9">
                  <c:v>45112.305324074077</c:v>
                </c:pt>
                <c:pt idx="10">
                  <c:v>45112.30541666667</c:v>
                </c:pt>
                <c:pt idx="11">
                  <c:v>45112.305567129632</c:v>
                </c:pt>
                <c:pt idx="12">
                  <c:v>45112.308020833334</c:v>
                </c:pt>
                <c:pt idx="13">
                  <c:v>45112.308240740742</c:v>
                </c:pt>
                <c:pt idx="14">
                  <c:v>45112.315127314818</c:v>
                </c:pt>
                <c:pt idx="15">
                  <c:v>45112.315381944441</c:v>
                </c:pt>
                <c:pt idx="16">
                  <c:v>45112.315578703703</c:v>
                </c:pt>
                <c:pt idx="17">
                  <c:v>45112.315659722219</c:v>
                </c:pt>
                <c:pt idx="18">
                  <c:v>45112.621087962965</c:v>
                </c:pt>
                <c:pt idx="19">
                  <c:v>45112.621435185189</c:v>
                </c:pt>
                <c:pt idx="20">
                  <c:v>45112.62300925926</c:v>
                </c:pt>
                <c:pt idx="21">
                  <c:v>45112.623611111114</c:v>
                </c:pt>
                <c:pt idx="22">
                  <c:v>45112.623831018522</c:v>
                </c:pt>
                <c:pt idx="23">
                  <c:v>45112.624386574076</c:v>
                </c:pt>
                <c:pt idx="24">
                  <c:v>45112.624490740738</c:v>
                </c:pt>
                <c:pt idx="25">
                  <c:v>45112.631782407407</c:v>
                </c:pt>
                <c:pt idx="26">
                  <c:v>45112.632754629631</c:v>
                </c:pt>
                <c:pt idx="27">
                  <c:v>45112.632824074077</c:v>
                </c:pt>
                <c:pt idx="28">
                  <c:v>45112.632916666669</c:v>
                </c:pt>
                <c:pt idx="29">
                  <c:v>45112.633576388886</c:v>
                </c:pt>
                <c:pt idx="30">
                  <c:v>45112.633634259262</c:v>
                </c:pt>
                <c:pt idx="31">
                  <c:v>45112.633726851855</c:v>
                </c:pt>
                <c:pt idx="32">
                  <c:v>45112.633993055555</c:v>
                </c:pt>
                <c:pt idx="33">
                  <c:v>45112.634513888886</c:v>
                </c:pt>
                <c:pt idx="34">
                  <c:v>45112.634965277779</c:v>
                </c:pt>
                <c:pt idx="35">
                  <c:v>45112.635312500002</c:v>
                </c:pt>
                <c:pt idx="36">
                  <c:v>45112.635682870372</c:v>
                </c:pt>
                <c:pt idx="37">
                  <c:v>45113.892812500002</c:v>
                </c:pt>
                <c:pt idx="38">
                  <c:v>45113.89329861111</c:v>
                </c:pt>
                <c:pt idx="39">
                  <c:v>45113.89340277778</c:v>
                </c:pt>
                <c:pt idx="40">
                  <c:v>45113.894155092596</c:v>
                </c:pt>
                <c:pt idx="41">
                  <c:v>45113.894490740742</c:v>
                </c:pt>
              </c:numCache>
            </c:numRef>
          </c:xVal>
          <c:yVal>
            <c:numRef>
              <c:f>'[1]Data Brebis Points rouges'!$N$86:$N$130</c:f>
              <c:numCache>
                <c:formatCode>General</c:formatCode>
                <c:ptCount val="4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04-435A-97C3-E50256186F47}"/>
            </c:ext>
          </c:extLst>
        </c:ser>
        <c:ser>
          <c:idx val="8"/>
          <c:order val="8"/>
          <c:tx>
            <c:strRef>
              <c:f>'[1]Data Brebis Points rouges'!$H$131</c:f>
              <c:strCache>
                <c:ptCount val="1"/>
                <c:pt idx="0">
                  <c:v>155000025094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rouges'!$M$131:$M$149</c:f>
              <c:numCache>
                <c:formatCode>General</c:formatCode>
                <c:ptCount val="19"/>
                <c:pt idx="0">
                  <c:v>45112.406307870369</c:v>
                </c:pt>
                <c:pt idx="1">
                  <c:v>45112.406331018516</c:v>
                </c:pt>
                <c:pt idx="2">
                  <c:v>45112.406967592593</c:v>
                </c:pt>
                <c:pt idx="3">
                  <c:v>45112.40724537037</c:v>
                </c:pt>
                <c:pt idx="4">
                  <c:v>45112.413425925923</c:v>
                </c:pt>
                <c:pt idx="5">
                  <c:v>45112.599062499998</c:v>
                </c:pt>
                <c:pt idx="6">
                  <c:v>45112.600243055553</c:v>
                </c:pt>
                <c:pt idx="7">
                  <c:v>45112.601863425924</c:v>
                </c:pt>
                <c:pt idx="8">
                  <c:v>45112.603009259263</c:v>
                </c:pt>
                <c:pt idx="9">
                  <c:v>45112.603449074071</c:v>
                </c:pt>
                <c:pt idx="10">
                  <c:v>45114.008796296293</c:v>
                </c:pt>
                <c:pt idx="11">
                  <c:v>45114.047384259262</c:v>
                </c:pt>
                <c:pt idx="12">
                  <c:v>45114.056064814817</c:v>
                </c:pt>
                <c:pt idx="13">
                  <c:v>45114.061168981483</c:v>
                </c:pt>
                <c:pt idx="14">
                  <c:v>45114.064618055556</c:v>
                </c:pt>
                <c:pt idx="15">
                  <c:v>45114.105231481481</c:v>
                </c:pt>
                <c:pt idx="16">
                  <c:v>45114.132245370369</c:v>
                </c:pt>
                <c:pt idx="17">
                  <c:v>45114.412766203706</c:v>
                </c:pt>
                <c:pt idx="18">
                  <c:v>45114.448020833333</c:v>
                </c:pt>
              </c:numCache>
            </c:numRef>
          </c:xVal>
          <c:yVal>
            <c:numRef>
              <c:f>'[1]Data Brebis Points rouges'!$N$131:$N$149</c:f>
              <c:numCache>
                <c:formatCode>General</c:formatCode>
                <c:ptCount val="19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E04-435A-97C3-E50256186F47}"/>
            </c:ext>
          </c:extLst>
        </c:ser>
        <c:ser>
          <c:idx val="9"/>
          <c:order val="9"/>
          <c:tx>
            <c:strRef>
              <c:f>'[1]Data Brebis Points rouges'!$H$150</c:f>
              <c:strCache>
                <c:ptCount val="1"/>
                <c:pt idx="0">
                  <c:v>155000025681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rouges'!$M$150:$M$179</c:f>
              <c:numCache>
                <c:formatCode>General</c:formatCode>
                <c:ptCount val="30"/>
                <c:pt idx="0">
                  <c:v>45112.481898148151</c:v>
                </c:pt>
                <c:pt idx="1">
                  <c:v>45112.49728009259</c:v>
                </c:pt>
                <c:pt idx="2">
                  <c:v>45112.497569444444</c:v>
                </c:pt>
                <c:pt idx="3">
                  <c:v>45112.497708333336</c:v>
                </c:pt>
                <c:pt idx="4">
                  <c:v>45112.49895833333</c:v>
                </c:pt>
                <c:pt idx="5">
                  <c:v>45112.503240740742</c:v>
                </c:pt>
                <c:pt idx="6">
                  <c:v>45112.512696759259</c:v>
                </c:pt>
                <c:pt idx="7">
                  <c:v>45112.54347222222</c:v>
                </c:pt>
                <c:pt idx="8">
                  <c:v>45112.543495370373</c:v>
                </c:pt>
                <c:pt idx="9">
                  <c:v>45112.584583333337</c:v>
                </c:pt>
                <c:pt idx="10">
                  <c:v>45112.601030092592</c:v>
                </c:pt>
                <c:pt idx="11">
                  <c:v>45112.606539351851</c:v>
                </c:pt>
                <c:pt idx="12">
                  <c:v>45112.615416666667</c:v>
                </c:pt>
                <c:pt idx="13">
                  <c:v>45112.615694444445</c:v>
                </c:pt>
                <c:pt idx="14">
                  <c:v>45112.637071759258</c:v>
                </c:pt>
                <c:pt idx="15">
                  <c:v>45112.637731481482</c:v>
                </c:pt>
                <c:pt idx="16">
                  <c:v>45112.637777777774</c:v>
                </c:pt>
                <c:pt idx="17">
                  <c:v>45112.638182870367</c:v>
                </c:pt>
                <c:pt idx="18">
                  <c:v>45112.640497685185</c:v>
                </c:pt>
                <c:pt idx="19">
                  <c:v>45112.640613425923</c:v>
                </c:pt>
                <c:pt idx="20">
                  <c:v>45112.663032407407</c:v>
                </c:pt>
                <c:pt idx="21">
                  <c:v>45112.663101851853</c:v>
                </c:pt>
                <c:pt idx="22">
                  <c:v>45112.663263888891</c:v>
                </c:pt>
                <c:pt idx="23">
                  <c:v>45112.68608796296</c:v>
                </c:pt>
                <c:pt idx="24">
                  <c:v>45112.68644675926</c:v>
                </c:pt>
                <c:pt idx="25">
                  <c:v>45112.686631944445</c:v>
                </c:pt>
                <c:pt idx="26">
                  <c:v>45112.748379629629</c:v>
                </c:pt>
                <c:pt idx="27">
                  <c:v>45112.748518518521</c:v>
                </c:pt>
                <c:pt idx="28">
                  <c:v>45112.749594907407</c:v>
                </c:pt>
                <c:pt idx="29">
                  <c:v>45112.749976851854</c:v>
                </c:pt>
              </c:numCache>
            </c:numRef>
          </c:xVal>
          <c:yVal>
            <c:numRef>
              <c:f>'[1]Data Brebis Points rouges'!$N$150:$N$179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E04-435A-97C3-E50256186F47}"/>
            </c:ext>
          </c:extLst>
        </c:ser>
        <c:ser>
          <c:idx val="10"/>
          <c:order val="10"/>
          <c:tx>
            <c:strRef>
              <c:f>'[1]Data Brebis Points rouges'!$H$180</c:f>
              <c:strCache>
                <c:ptCount val="1"/>
                <c:pt idx="0">
                  <c:v>155000025759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rouges'!$M$180:$M$216</c:f>
              <c:numCache>
                <c:formatCode>General</c:formatCode>
                <c:ptCount val="37"/>
                <c:pt idx="0">
                  <c:v>45112.690335648149</c:v>
                </c:pt>
                <c:pt idx="1">
                  <c:v>45112.692511574074</c:v>
                </c:pt>
                <c:pt idx="2">
                  <c:v>45112.932523148149</c:v>
                </c:pt>
                <c:pt idx="3">
                  <c:v>45112.932546296295</c:v>
                </c:pt>
                <c:pt idx="4">
                  <c:v>45113.00953703704</c:v>
                </c:pt>
                <c:pt idx="5">
                  <c:v>45113.019502314812</c:v>
                </c:pt>
                <c:pt idx="6">
                  <c:v>45113.022060185183</c:v>
                </c:pt>
                <c:pt idx="7">
                  <c:v>45113.023182870369</c:v>
                </c:pt>
                <c:pt idx="8">
                  <c:v>45113.023206018515</c:v>
                </c:pt>
                <c:pt idx="9">
                  <c:v>45113.024537037039</c:v>
                </c:pt>
                <c:pt idx="10">
                  <c:v>45113.037106481483</c:v>
                </c:pt>
                <c:pt idx="11">
                  <c:v>45113.037141203706</c:v>
                </c:pt>
                <c:pt idx="12">
                  <c:v>45113.039768518516</c:v>
                </c:pt>
                <c:pt idx="13">
                  <c:v>45113.122650462959</c:v>
                </c:pt>
                <c:pt idx="14">
                  <c:v>45113.124930555554</c:v>
                </c:pt>
                <c:pt idx="15">
                  <c:v>45113.190023148149</c:v>
                </c:pt>
                <c:pt idx="16">
                  <c:v>45113.19122685185</c:v>
                </c:pt>
                <c:pt idx="17">
                  <c:v>45113.191550925927</c:v>
                </c:pt>
                <c:pt idx="18">
                  <c:v>45113.19222222222</c:v>
                </c:pt>
                <c:pt idx="19">
                  <c:v>45113.192835648151</c:v>
                </c:pt>
                <c:pt idx="20">
                  <c:v>45113.193240740744</c:v>
                </c:pt>
                <c:pt idx="21">
                  <c:v>45113.194548611114</c:v>
                </c:pt>
                <c:pt idx="22">
                  <c:v>45113.194733796299</c:v>
                </c:pt>
                <c:pt idx="23">
                  <c:v>45113.194907407407</c:v>
                </c:pt>
                <c:pt idx="24">
                  <c:v>45113.197604166664</c:v>
                </c:pt>
                <c:pt idx="25">
                  <c:v>45113.197905092595</c:v>
                </c:pt>
                <c:pt idx="26">
                  <c:v>45113.19835648148</c:v>
                </c:pt>
                <c:pt idx="27">
                  <c:v>45113.198842592596</c:v>
                </c:pt>
                <c:pt idx="28">
                  <c:v>45113.198865740742</c:v>
                </c:pt>
                <c:pt idx="29">
                  <c:v>45113.199004629627</c:v>
                </c:pt>
                <c:pt idx="30">
                  <c:v>45113.199178240742</c:v>
                </c:pt>
                <c:pt idx="31">
                  <c:v>45113.199201388888</c:v>
                </c:pt>
                <c:pt idx="32">
                  <c:v>45113.199490740742</c:v>
                </c:pt>
                <c:pt idx="33">
                  <c:v>45113.200671296298</c:v>
                </c:pt>
                <c:pt idx="34">
                  <c:v>45113.200844907406</c:v>
                </c:pt>
                <c:pt idx="35">
                  <c:v>45113.285856481481</c:v>
                </c:pt>
                <c:pt idx="36">
                  <c:v>45113.409768518519</c:v>
                </c:pt>
              </c:numCache>
            </c:numRef>
          </c:xVal>
          <c:yVal>
            <c:numRef>
              <c:f>'[1]Data Brebis Points rouges'!$N$180:$N$216</c:f>
              <c:numCache>
                <c:formatCode>General</c:formatCode>
                <c:ptCount val="3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E04-435A-97C3-E50256186F47}"/>
            </c:ext>
          </c:extLst>
        </c:ser>
        <c:ser>
          <c:idx val="11"/>
          <c:order val="11"/>
          <c:tx>
            <c:strRef>
              <c:f>'[1]Data Brebis Points rouges'!$H$217</c:f>
              <c:strCache>
                <c:ptCount val="1"/>
                <c:pt idx="0">
                  <c:v>155000025519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rouges'!$M$217:$M$243</c:f>
              <c:numCache>
                <c:formatCode>General</c:formatCode>
                <c:ptCount val="27"/>
                <c:pt idx="0">
                  <c:v>45112.702800925923</c:v>
                </c:pt>
                <c:pt idx="1">
                  <c:v>45112.703043981484</c:v>
                </c:pt>
                <c:pt idx="2">
                  <c:v>45112.703611111108</c:v>
                </c:pt>
                <c:pt idx="3">
                  <c:v>45112.703900462962</c:v>
                </c:pt>
                <c:pt idx="4">
                  <c:v>45112.703993055555</c:v>
                </c:pt>
                <c:pt idx="5">
                  <c:v>45112.705787037034</c:v>
                </c:pt>
                <c:pt idx="6">
                  <c:v>45112.712800925925</c:v>
                </c:pt>
                <c:pt idx="7">
                  <c:v>45112.715381944443</c:v>
                </c:pt>
                <c:pt idx="8">
                  <c:v>45112.719548611109</c:v>
                </c:pt>
                <c:pt idx="9">
                  <c:v>45112.755567129629</c:v>
                </c:pt>
                <c:pt idx="10">
                  <c:v>45112.785787037035</c:v>
                </c:pt>
                <c:pt idx="11">
                  <c:v>45112.786030092589</c:v>
                </c:pt>
                <c:pt idx="12">
                  <c:v>45112.786180555559</c:v>
                </c:pt>
                <c:pt idx="13">
                  <c:v>45113.289641203701</c:v>
                </c:pt>
                <c:pt idx="14">
                  <c:v>45113.29005787037</c:v>
                </c:pt>
                <c:pt idx="15">
                  <c:v>45113.290081018517</c:v>
                </c:pt>
                <c:pt idx="16">
                  <c:v>45113.293622685182</c:v>
                </c:pt>
                <c:pt idx="17">
                  <c:v>45113.397291666668</c:v>
                </c:pt>
                <c:pt idx="18">
                  <c:v>45113.397349537037</c:v>
                </c:pt>
                <c:pt idx="19">
                  <c:v>45113.399062500001</c:v>
                </c:pt>
                <c:pt idx="20">
                  <c:v>45113.400787037041</c:v>
                </c:pt>
                <c:pt idx="21">
                  <c:v>45113.442708333336</c:v>
                </c:pt>
                <c:pt idx="22">
                  <c:v>45113.443692129629</c:v>
                </c:pt>
                <c:pt idx="23">
                  <c:v>45113.446331018517</c:v>
                </c:pt>
                <c:pt idx="24">
                  <c:v>45113.570335648146</c:v>
                </c:pt>
                <c:pt idx="25">
                  <c:v>45113.572974537034</c:v>
                </c:pt>
                <c:pt idx="26">
                  <c:v>45113.573009259257</c:v>
                </c:pt>
              </c:numCache>
            </c:numRef>
          </c:xVal>
          <c:yVal>
            <c:numRef>
              <c:f>'[1]Data Brebis Points rouges'!$N$217:$N$243</c:f>
              <c:numCache>
                <c:formatCode>General</c:formatCode>
                <c:ptCount val="2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E04-435A-97C3-E50256186F47}"/>
            </c:ext>
          </c:extLst>
        </c:ser>
        <c:ser>
          <c:idx val="12"/>
          <c:order val="12"/>
          <c:tx>
            <c:strRef>
              <c:f>'[1]Data Brebis Points rouges'!$H$244</c:f>
              <c:strCache>
                <c:ptCount val="1"/>
                <c:pt idx="0">
                  <c:v>155000025845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rouges'!$M$244:$M$249</c:f>
              <c:numCache>
                <c:formatCode>General</c:formatCode>
                <c:ptCount val="6"/>
                <c:pt idx="0">
                  <c:v>45112.77103009259</c:v>
                </c:pt>
                <c:pt idx="1">
                  <c:v>45112.771331018521</c:v>
                </c:pt>
                <c:pt idx="2">
                  <c:v>45112.772627314815</c:v>
                </c:pt>
                <c:pt idx="3">
                  <c:v>45112.775995370372</c:v>
                </c:pt>
                <c:pt idx="4">
                  <c:v>45112.986111111109</c:v>
                </c:pt>
                <c:pt idx="5">
                  <c:v>45113.023159722223</c:v>
                </c:pt>
              </c:numCache>
            </c:numRef>
          </c:xVal>
          <c:yVal>
            <c:numRef>
              <c:f>'[1]Data Brebis Points rouges'!$N$244:$N$249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E04-435A-97C3-E50256186F47}"/>
            </c:ext>
          </c:extLst>
        </c:ser>
        <c:ser>
          <c:idx val="13"/>
          <c:order val="13"/>
          <c:tx>
            <c:strRef>
              <c:f>'[1]Data Brebis Points rouges'!$H$250</c:f>
              <c:strCache>
                <c:ptCount val="1"/>
                <c:pt idx="0">
                  <c:v>155000025031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rouges'!$M$250:$M$258</c:f>
              <c:numCache>
                <c:formatCode>General</c:formatCode>
                <c:ptCount val="9"/>
                <c:pt idx="0">
                  <c:v>45112.788773148146</c:v>
                </c:pt>
                <c:pt idx="1">
                  <c:v>45112.788807870369</c:v>
                </c:pt>
                <c:pt idx="2">
                  <c:v>45112.788981481484</c:v>
                </c:pt>
                <c:pt idx="3">
                  <c:v>45112.789525462962</c:v>
                </c:pt>
                <c:pt idx="4">
                  <c:v>45112.789571759262</c:v>
                </c:pt>
                <c:pt idx="5">
                  <c:v>45112.790335648147</c:v>
                </c:pt>
                <c:pt idx="6">
                  <c:v>45112.790972222225</c:v>
                </c:pt>
                <c:pt idx="7">
                  <c:v>45112.791122685187</c:v>
                </c:pt>
                <c:pt idx="8">
                  <c:v>45114.669537037036</c:v>
                </c:pt>
              </c:numCache>
            </c:numRef>
          </c:xVal>
          <c:yVal>
            <c:numRef>
              <c:f>'[1]Data Brebis Points rouges'!$N$250:$N$258</c:f>
              <c:numCache>
                <c:formatCode>General</c:formatCode>
                <c:ptCount val="9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E04-435A-97C3-E50256186F47}"/>
            </c:ext>
          </c:extLst>
        </c:ser>
        <c:ser>
          <c:idx val="14"/>
          <c:order val="14"/>
          <c:tx>
            <c:strRef>
              <c:f>'[1]Data Brebis Points rouges'!$H$259</c:f>
              <c:strCache>
                <c:ptCount val="1"/>
                <c:pt idx="0">
                  <c:v>155000025861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rouges'!$M$259:$M$267</c:f>
              <c:numCache>
                <c:formatCode>General</c:formatCode>
                <c:ptCount val="9"/>
                <c:pt idx="0">
                  <c:v>45112.791516203702</c:v>
                </c:pt>
                <c:pt idx="1">
                  <c:v>45112.791574074072</c:v>
                </c:pt>
                <c:pt idx="2">
                  <c:v>45113.079247685186</c:v>
                </c:pt>
                <c:pt idx="3">
                  <c:v>45113.079293981478</c:v>
                </c:pt>
                <c:pt idx="4">
                  <c:v>45113.079861111109</c:v>
                </c:pt>
                <c:pt idx="5">
                  <c:v>45113.084583333337</c:v>
                </c:pt>
                <c:pt idx="6">
                  <c:v>45113.084618055553</c:v>
                </c:pt>
                <c:pt idx="7">
                  <c:v>45113.204386574071</c:v>
                </c:pt>
                <c:pt idx="8">
                  <c:v>45113.205613425926</c:v>
                </c:pt>
              </c:numCache>
            </c:numRef>
          </c:xVal>
          <c:yVal>
            <c:numRef>
              <c:f>'[1]Data Brebis Points rouges'!$N$259:$N$267</c:f>
              <c:numCache>
                <c:formatCode>General</c:formatCode>
                <c:ptCount val="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E04-435A-97C3-E50256186F47}"/>
            </c:ext>
          </c:extLst>
        </c:ser>
        <c:ser>
          <c:idx val="16"/>
          <c:order val="15"/>
          <c:tx>
            <c:strRef>
              <c:f>'[1]Data Brebis Points rouges'!$H$268</c:f>
              <c:strCache>
                <c:ptCount val="1"/>
                <c:pt idx="0">
                  <c:v>155000025388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rouges'!$M$268:$M$280</c:f>
              <c:numCache>
                <c:formatCode>General</c:formatCode>
                <c:ptCount val="13"/>
                <c:pt idx="0">
                  <c:v>45113.201701388891</c:v>
                </c:pt>
                <c:pt idx="1">
                  <c:v>45113.20171296296</c:v>
                </c:pt>
                <c:pt idx="2">
                  <c:v>45113.201898148145</c:v>
                </c:pt>
                <c:pt idx="3">
                  <c:v>45113.202210648145</c:v>
                </c:pt>
                <c:pt idx="4">
                  <c:v>45113.202222222222</c:v>
                </c:pt>
                <c:pt idx="5">
                  <c:v>45113.202476851853</c:v>
                </c:pt>
                <c:pt idx="6">
                  <c:v>45113.202719907407</c:v>
                </c:pt>
                <c:pt idx="7">
                  <c:v>45113.202743055554</c:v>
                </c:pt>
                <c:pt idx="8">
                  <c:v>45113.203287037039</c:v>
                </c:pt>
                <c:pt idx="9">
                  <c:v>45113.203668981485</c:v>
                </c:pt>
                <c:pt idx="10">
                  <c:v>45113.204108796293</c:v>
                </c:pt>
                <c:pt idx="11">
                  <c:v>45113.209189814814</c:v>
                </c:pt>
                <c:pt idx="12">
                  <c:v>45113.209201388891</c:v>
                </c:pt>
              </c:numCache>
            </c:numRef>
          </c:xVal>
          <c:yVal>
            <c:numRef>
              <c:f>'[1]Data Brebis Points rouges'!$N$268:$N$280</c:f>
              <c:numCache>
                <c:formatCode>General</c:formatCode>
                <c:ptCount val="13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E04-435A-97C3-E50256186F47}"/>
            </c:ext>
          </c:extLst>
        </c:ser>
        <c:ser>
          <c:idx val="17"/>
          <c:order val="16"/>
          <c:tx>
            <c:strRef>
              <c:f>'[1]Data Brebis Points rouges'!$H$281</c:f>
              <c:strCache>
                <c:ptCount val="1"/>
                <c:pt idx="0">
                  <c:v>155000025283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rouges'!$M$281:$M$285</c:f>
              <c:numCache>
                <c:formatCode>General</c:formatCode>
                <c:ptCount val="5"/>
                <c:pt idx="0">
                  <c:v>45113.431307870371</c:v>
                </c:pt>
                <c:pt idx="1">
                  <c:v>45113.431331018517</c:v>
                </c:pt>
                <c:pt idx="2">
                  <c:v>45113.431469907409</c:v>
                </c:pt>
                <c:pt idx="3">
                  <c:v>45113.431493055556</c:v>
                </c:pt>
                <c:pt idx="4">
                  <c:v>45114.606770833336</c:v>
                </c:pt>
              </c:numCache>
            </c:numRef>
          </c:xVal>
          <c:yVal>
            <c:numRef>
              <c:f>'[1]Data Brebis Points rouges'!$N$281:$N$285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E04-435A-97C3-E50256186F47}"/>
            </c:ext>
          </c:extLst>
        </c:ser>
        <c:ser>
          <c:idx val="18"/>
          <c:order val="17"/>
          <c:tx>
            <c:strRef>
              <c:f>'[1]Data Brebis Points rouges'!$H$286</c:f>
              <c:strCache>
                <c:ptCount val="1"/>
                <c:pt idx="0">
                  <c:v>155000025367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rouges'!$M$286:$M$294</c:f>
              <c:numCache>
                <c:formatCode>General</c:formatCode>
                <c:ptCount val="9"/>
                <c:pt idx="0">
                  <c:v>45113.43246527778</c:v>
                </c:pt>
                <c:pt idx="1">
                  <c:v>45113.432476851849</c:v>
                </c:pt>
                <c:pt idx="2">
                  <c:v>45113.432511574072</c:v>
                </c:pt>
                <c:pt idx="3">
                  <c:v>45113.432534722226</c:v>
                </c:pt>
                <c:pt idx="4">
                  <c:v>45113.432627314818</c:v>
                </c:pt>
                <c:pt idx="5">
                  <c:v>45113.432673611111</c:v>
                </c:pt>
                <c:pt idx="6">
                  <c:v>45113.432754629626</c:v>
                </c:pt>
                <c:pt idx="7">
                  <c:v>45113.772002314814</c:v>
                </c:pt>
                <c:pt idx="8">
                  <c:v>45113.772187499999</c:v>
                </c:pt>
              </c:numCache>
            </c:numRef>
          </c:xVal>
          <c:yVal>
            <c:numRef>
              <c:f>'[1]Data Brebis Points rouges'!$N$286:$N$294</c:f>
              <c:numCache>
                <c:formatCode>General</c:formatCode>
                <c:ptCount val="9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E04-435A-97C3-E50256186F47}"/>
            </c:ext>
          </c:extLst>
        </c:ser>
        <c:ser>
          <c:idx val="19"/>
          <c:order val="18"/>
          <c:tx>
            <c:strRef>
              <c:f>'[1]Data Brebis Points rouges'!$H$295</c:f>
              <c:strCache>
                <c:ptCount val="1"/>
                <c:pt idx="0">
                  <c:v>155000025232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rouges'!$M$295:$M$301</c:f>
              <c:numCache>
                <c:formatCode>General</c:formatCode>
                <c:ptCount val="7"/>
                <c:pt idx="0">
                  <c:v>45113.450312499997</c:v>
                </c:pt>
                <c:pt idx="1">
                  <c:v>45113.659039351849</c:v>
                </c:pt>
                <c:pt idx="2">
                  <c:v>45113.659537037034</c:v>
                </c:pt>
                <c:pt idx="3">
                  <c:v>45113.66369212963</c:v>
                </c:pt>
                <c:pt idx="4">
                  <c:v>45113.683148148149</c:v>
                </c:pt>
                <c:pt idx="5">
                  <c:v>45113.68378472222</c:v>
                </c:pt>
                <c:pt idx="6">
                  <c:v>45113.708668981482</c:v>
                </c:pt>
              </c:numCache>
            </c:numRef>
          </c:xVal>
          <c:yVal>
            <c:numRef>
              <c:f>'[1]Data Brebis Points rouges'!$N$295:$N$301</c:f>
              <c:numCache>
                <c:formatCode>General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E04-435A-97C3-E50256186F47}"/>
            </c:ext>
          </c:extLst>
        </c:ser>
        <c:ser>
          <c:idx val="20"/>
          <c:order val="19"/>
          <c:tx>
            <c:strRef>
              <c:f>'[1]Data Brebis Points rouges'!$H$302</c:f>
              <c:strCache>
                <c:ptCount val="1"/>
                <c:pt idx="0">
                  <c:v>155000025591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rouges'!$M$302:$M$320</c:f>
              <c:numCache>
                <c:formatCode>General</c:formatCode>
                <c:ptCount val="19"/>
                <c:pt idx="0">
                  <c:v>45113.532719907409</c:v>
                </c:pt>
                <c:pt idx="1">
                  <c:v>45113.577499999999</c:v>
                </c:pt>
                <c:pt idx="2">
                  <c:v>45113.577962962961</c:v>
                </c:pt>
                <c:pt idx="3">
                  <c:v>45113.577974537038</c:v>
                </c:pt>
                <c:pt idx="4">
                  <c:v>45113.578564814816</c:v>
                </c:pt>
                <c:pt idx="5">
                  <c:v>45113.663078703707</c:v>
                </c:pt>
                <c:pt idx="6">
                  <c:v>45113.686064814814</c:v>
                </c:pt>
                <c:pt idx="7">
                  <c:v>45113.846747685187</c:v>
                </c:pt>
                <c:pt idx="8">
                  <c:v>45113.847037037034</c:v>
                </c:pt>
                <c:pt idx="9">
                  <c:v>45113.848749999997</c:v>
                </c:pt>
                <c:pt idx="10">
                  <c:v>45113.849965277775</c:v>
                </c:pt>
                <c:pt idx="11">
                  <c:v>45113.849988425929</c:v>
                </c:pt>
                <c:pt idx="12">
                  <c:v>45113.850266203706</c:v>
                </c:pt>
                <c:pt idx="13">
                  <c:v>45113.850428240738</c:v>
                </c:pt>
                <c:pt idx="14">
                  <c:v>45113.850555555553</c:v>
                </c:pt>
                <c:pt idx="15">
                  <c:v>45113.850798611114</c:v>
                </c:pt>
                <c:pt idx="16">
                  <c:v>45113.851168981484</c:v>
                </c:pt>
                <c:pt idx="17">
                  <c:v>45113.851400462961</c:v>
                </c:pt>
                <c:pt idx="18">
                  <c:v>45113.861226851855</c:v>
                </c:pt>
              </c:numCache>
            </c:numRef>
          </c:xVal>
          <c:yVal>
            <c:numRef>
              <c:f>'[1]Data Brebis Points rouges'!$N$302:$N$320</c:f>
              <c:numCache>
                <c:formatCode>General</c:formatCode>
                <c:ptCount val="1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E04-435A-97C3-E50256186F47}"/>
            </c:ext>
          </c:extLst>
        </c:ser>
        <c:ser>
          <c:idx val="22"/>
          <c:order val="20"/>
          <c:tx>
            <c:strRef>
              <c:f>'[1]Data Brebis Points rouges'!$H$321</c:f>
              <c:strCache>
                <c:ptCount val="1"/>
                <c:pt idx="0">
                  <c:v>155000025486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rouges'!$M$321</c:f>
              <c:numCache>
                <c:formatCode>General</c:formatCode>
                <c:ptCount val="1"/>
                <c:pt idx="0">
                  <c:v>45113.559525462966</c:v>
                </c:pt>
              </c:numCache>
            </c:numRef>
          </c:xVal>
          <c:yVal>
            <c:numRef>
              <c:f>'[1]Data Brebis Points rouges'!$N$321</c:f>
              <c:numCache>
                <c:formatCode>General</c:formatCode>
                <c:ptCount val="1"/>
                <c:pt idx="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E04-435A-97C3-E50256186F47}"/>
            </c:ext>
          </c:extLst>
        </c:ser>
        <c:ser>
          <c:idx val="23"/>
          <c:order val="21"/>
          <c:tx>
            <c:strRef>
              <c:f>'[1]Data Brebis Points rouges'!$H$322</c:f>
              <c:strCache>
                <c:ptCount val="1"/>
                <c:pt idx="0">
                  <c:v>155000026012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rouges'!$M$322:$M$341</c:f>
              <c:numCache>
                <c:formatCode>General</c:formatCode>
                <c:ptCount val="20"/>
                <c:pt idx="0">
                  <c:v>45113.611909722225</c:v>
                </c:pt>
                <c:pt idx="1">
                  <c:v>45113.689826388887</c:v>
                </c:pt>
                <c:pt idx="2">
                  <c:v>45114.006932870368</c:v>
                </c:pt>
                <c:pt idx="3">
                  <c:v>45114.006990740738</c:v>
                </c:pt>
                <c:pt idx="4">
                  <c:v>45114.64508101852</c:v>
                </c:pt>
                <c:pt idx="5">
                  <c:v>45114.645462962966</c:v>
                </c:pt>
                <c:pt idx="6">
                  <c:v>45114.645694444444</c:v>
                </c:pt>
                <c:pt idx="7">
                  <c:v>45114.645775462966</c:v>
                </c:pt>
                <c:pt idx="8">
                  <c:v>45114.646331018521</c:v>
                </c:pt>
                <c:pt idx="9">
                  <c:v>45114.64634259259</c:v>
                </c:pt>
                <c:pt idx="10">
                  <c:v>45114.646782407406</c:v>
                </c:pt>
                <c:pt idx="11">
                  <c:v>45114.646990740737</c:v>
                </c:pt>
                <c:pt idx="12">
                  <c:v>45114.647256944445</c:v>
                </c:pt>
                <c:pt idx="13">
                  <c:v>45114.647673611114</c:v>
                </c:pt>
                <c:pt idx="14">
                  <c:v>45114.647696759261</c:v>
                </c:pt>
                <c:pt idx="15">
                  <c:v>45114.647881944446</c:v>
                </c:pt>
                <c:pt idx="16">
                  <c:v>45114.648321759261</c:v>
                </c:pt>
                <c:pt idx="17">
                  <c:v>45114.6484837963</c:v>
                </c:pt>
                <c:pt idx="18">
                  <c:v>45114.649189814816</c:v>
                </c:pt>
                <c:pt idx="19">
                  <c:v>45114.649270833332</c:v>
                </c:pt>
              </c:numCache>
            </c:numRef>
          </c:xVal>
          <c:yVal>
            <c:numRef>
              <c:f>'[1]Data Brebis Points rouges'!$N$322:$N$341</c:f>
              <c:numCache>
                <c:formatCode>General</c:formatCode>
                <c:ptCount val="20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E04-435A-97C3-E50256186F47}"/>
            </c:ext>
          </c:extLst>
        </c:ser>
        <c:ser>
          <c:idx val="24"/>
          <c:order val="22"/>
          <c:tx>
            <c:strRef>
              <c:f>'[1]Data Brebis Points rouges'!$H$342</c:f>
              <c:strCache>
                <c:ptCount val="1"/>
                <c:pt idx="0">
                  <c:v>155000025973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rouges'!$M$342:$M$355</c:f>
              <c:numCache>
                <c:formatCode>General</c:formatCode>
                <c:ptCount val="14"/>
                <c:pt idx="0">
                  <c:v>45113.682060185187</c:v>
                </c:pt>
                <c:pt idx="1">
                  <c:v>45113.682314814818</c:v>
                </c:pt>
                <c:pt idx="2">
                  <c:v>45113.688935185186</c:v>
                </c:pt>
                <c:pt idx="3">
                  <c:v>45113.689143518517</c:v>
                </c:pt>
                <c:pt idx="4">
                  <c:v>45113.689363425925</c:v>
                </c:pt>
                <c:pt idx="5">
                  <c:v>45113.709699074076</c:v>
                </c:pt>
                <c:pt idx="6">
                  <c:v>45113.837546296294</c:v>
                </c:pt>
                <c:pt idx="7">
                  <c:v>45113.908182870371</c:v>
                </c:pt>
                <c:pt idx="8">
                  <c:v>45113.908368055556</c:v>
                </c:pt>
                <c:pt idx="9">
                  <c:v>45114.277708333335</c:v>
                </c:pt>
                <c:pt idx="10">
                  <c:v>45114.279768518521</c:v>
                </c:pt>
                <c:pt idx="11">
                  <c:v>45114.279918981483</c:v>
                </c:pt>
                <c:pt idx="12">
                  <c:v>45114.280185185184</c:v>
                </c:pt>
                <c:pt idx="13">
                  <c:v>45114.2809375</c:v>
                </c:pt>
              </c:numCache>
            </c:numRef>
          </c:xVal>
          <c:yVal>
            <c:numRef>
              <c:f>'[1]Data Brebis Points rouges'!$N$342:$N$355</c:f>
              <c:numCache>
                <c:formatCode>General</c:formatCode>
                <c:ptCount val="14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E04-435A-97C3-E50256186F47}"/>
            </c:ext>
          </c:extLst>
        </c:ser>
        <c:ser>
          <c:idx val="25"/>
          <c:order val="23"/>
          <c:tx>
            <c:strRef>
              <c:f>'[1]Data Brebis Points rouges'!$H$356</c:f>
              <c:strCache>
                <c:ptCount val="1"/>
                <c:pt idx="0">
                  <c:v>155000025417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rouges'!$M$356:$M$365</c:f>
              <c:numCache>
                <c:formatCode>General</c:formatCode>
                <c:ptCount val="10"/>
                <c:pt idx="0">
                  <c:v>45113.696261574078</c:v>
                </c:pt>
                <c:pt idx="1">
                  <c:v>45113.709143518521</c:v>
                </c:pt>
                <c:pt idx="2">
                  <c:v>45113.736296296294</c:v>
                </c:pt>
                <c:pt idx="3">
                  <c:v>45113.736863425926</c:v>
                </c:pt>
                <c:pt idx="4">
                  <c:v>45113.738125000003</c:v>
                </c:pt>
                <c:pt idx="5">
                  <c:v>45113.804976851854</c:v>
                </c:pt>
                <c:pt idx="6">
                  <c:v>45113.807083333333</c:v>
                </c:pt>
                <c:pt idx="7">
                  <c:v>45113.898553240739</c:v>
                </c:pt>
                <c:pt idx="8">
                  <c:v>45113.899108796293</c:v>
                </c:pt>
                <c:pt idx="9">
                  <c:v>45114.763611111113</c:v>
                </c:pt>
              </c:numCache>
            </c:numRef>
          </c:xVal>
          <c:yVal>
            <c:numRef>
              <c:f>'[1]Data Brebis Points rouges'!$N$356:$N$365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E04-435A-97C3-E50256186F47}"/>
            </c:ext>
          </c:extLst>
        </c:ser>
        <c:ser>
          <c:idx val="26"/>
          <c:order val="24"/>
          <c:tx>
            <c:strRef>
              <c:f>'[1]Data Brebis Points rouges'!$H$366</c:f>
              <c:strCache>
                <c:ptCount val="1"/>
                <c:pt idx="0">
                  <c:v>155000025757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rouges'!$M$366:$M$370</c:f>
              <c:numCache>
                <c:formatCode>General</c:formatCode>
                <c:ptCount val="5"/>
                <c:pt idx="0">
                  <c:v>45113.71671296296</c:v>
                </c:pt>
                <c:pt idx="1">
                  <c:v>45113.716724537036</c:v>
                </c:pt>
                <c:pt idx="2">
                  <c:v>45113.967199074075</c:v>
                </c:pt>
                <c:pt idx="3">
                  <c:v>45113.968599537038</c:v>
                </c:pt>
                <c:pt idx="4">
                  <c:v>45113.991527777776</c:v>
                </c:pt>
              </c:numCache>
            </c:numRef>
          </c:xVal>
          <c:yVal>
            <c:numRef>
              <c:f>'[1]Data Brebis Points rouges'!$N$366:$N$370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E04-435A-97C3-E50256186F47}"/>
            </c:ext>
          </c:extLst>
        </c:ser>
        <c:ser>
          <c:idx val="27"/>
          <c:order val="25"/>
          <c:tx>
            <c:strRef>
              <c:f>'[1]Data Brebis Points rouges'!$H$371</c:f>
              <c:strCache>
                <c:ptCount val="1"/>
                <c:pt idx="0">
                  <c:v>155000025167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rouges'!$M$371:$M$372</c:f>
              <c:numCache>
                <c:formatCode>General</c:formatCode>
                <c:ptCount val="2"/>
                <c:pt idx="0">
                  <c:v>45113.923425925925</c:v>
                </c:pt>
                <c:pt idx="1">
                  <c:v>45113.937025462961</c:v>
                </c:pt>
              </c:numCache>
            </c:numRef>
          </c:xVal>
          <c:yVal>
            <c:numRef>
              <c:f>'[1]Data Brebis Points rouges'!$N$372:$N$373</c:f>
              <c:numCache>
                <c:formatCode>General</c:formatCode>
                <c:ptCount val="2"/>
                <c:pt idx="0">
                  <c:v>26</c:v>
                </c:pt>
                <c:pt idx="1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E04-435A-97C3-E50256186F47}"/>
            </c:ext>
          </c:extLst>
        </c:ser>
        <c:ser>
          <c:idx val="28"/>
          <c:order val="26"/>
          <c:tx>
            <c:strRef>
              <c:f>'[1]Data Brebis Points rouges'!$H$373</c:f>
              <c:strCache>
                <c:ptCount val="1"/>
                <c:pt idx="0">
                  <c:v>155000025439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rouges'!$M$373</c:f>
              <c:numCache>
                <c:formatCode>General</c:formatCode>
                <c:ptCount val="1"/>
                <c:pt idx="0">
                  <c:v>45113.931550925925</c:v>
                </c:pt>
              </c:numCache>
            </c:numRef>
          </c:xVal>
          <c:yVal>
            <c:numRef>
              <c:f>'[1]Data Brebis Points rouges'!$N$373</c:f>
              <c:numCache>
                <c:formatCode>General</c:formatCode>
                <c:ptCount val="1"/>
                <c:pt idx="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E04-435A-97C3-E50256186F47}"/>
            </c:ext>
          </c:extLst>
        </c:ser>
        <c:ser>
          <c:idx val="29"/>
          <c:order val="27"/>
          <c:tx>
            <c:strRef>
              <c:f>'[1]Data Brebis Points rouges'!$H$374</c:f>
              <c:strCache>
                <c:ptCount val="1"/>
                <c:pt idx="0">
                  <c:v>155000025800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rouges'!$M$374:$M$377</c:f>
              <c:numCache>
                <c:formatCode>General</c:formatCode>
                <c:ptCount val="4"/>
                <c:pt idx="0">
                  <c:v>45113.946377314816</c:v>
                </c:pt>
                <c:pt idx="1">
                  <c:v>45114.008761574078</c:v>
                </c:pt>
                <c:pt idx="2">
                  <c:v>45114.185162037036</c:v>
                </c:pt>
                <c:pt idx="3">
                  <c:v>45114.51599537037</c:v>
                </c:pt>
              </c:numCache>
            </c:numRef>
          </c:xVal>
          <c:yVal>
            <c:numRef>
              <c:f>'[1]Data Brebis Points rouges'!$N$374:$N$377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E04-435A-97C3-E50256186F47}"/>
            </c:ext>
          </c:extLst>
        </c:ser>
        <c:ser>
          <c:idx val="30"/>
          <c:order val="28"/>
          <c:tx>
            <c:strRef>
              <c:f>'[1]Data Brebis Points rouges'!$H$378</c:f>
              <c:strCache>
                <c:ptCount val="1"/>
                <c:pt idx="0">
                  <c:v>155000025801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rouges'!$M$378:$M$383</c:f>
              <c:numCache>
                <c:formatCode>General</c:formatCode>
                <c:ptCount val="6"/>
                <c:pt idx="0">
                  <c:v>45113.995833333334</c:v>
                </c:pt>
                <c:pt idx="1">
                  <c:v>45114.053159722222</c:v>
                </c:pt>
                <c:pt idx="2">
                  <c:v>45114.057280092595</c:v>
                </c:pt>
                <c:pt idx="3">
                  <c:v>45114.058819444443</c:v>
                </c:pt>
                <c:pt idx="4">
                  <c:v>45114.238541666666</c:v>
                </c:pt>
                <c:pt idx="5">
                  <c:v>45114.239166666666</c:v>
                </c:pt>
              </c:numCache>
            </c:numRef>
          </c:xVal>
          <c:yVal>
            <c:numRef>
              <c:f>'[1]Data Brebis Points rouges'!$N$378:$N$383</c:f>
              <c:numCache>
                <c:formatCode>General</c:formatCode>
                <c:ptCount val="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E04-435A-97C3-E50256186F47}"/>
            </c:ext>
          </c:extLst>
        </c:ser>
        <c:ser>
          <c:idx val="31"/>
          <c:order val="29"/>
          <c:tx>
            <c:strRef>
              <c:f>'[1]Data Brebis Points rouges'!$H$384</c:f>
              <c:strCache>
                <c:ptCount val="1"/>
                <c:pt idx="0">
                  <c:v>155000025656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rouges'!$M$384:$M$386</c:f>
              <c:numCache>
                <c:formatCode>General</c:formatCode>
                <c:ptCount val="3"/>
                <c:pt idx="0">
                  <c:v>45114.011504629627</c:v>
                </c:pt>
                <c:pt idx="1">
                  <c:v>45114.012303240743</c:v>
                </c:pt>
                <c:pt idx="2">
                  <c:v>45114.012337962966</c:v>
                </c:pt>
              </c:numCache>
            </c:numRef>
          </c:xVal>
          <c:yVal>
            <c:numRef>
              <c:f>'[1]Data Brebis Points rouges'!$N$384:$N$386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E04-435A-97C3-E50256186F47}"/>
            </c:ext>
          </c:extLst>
        </c:ser>
        <c:ser>
          <c:idx val="32"/>
          <c:order val="30"/>
          <c:tx>
            <c:strRef>
              <c:f>'[1]Data Brebis Points rouges'!$H$387</c:f>
              <c:strCache>
                <c:ptCount val="1"/>
                <c:pt idx="0">
                  <c:v>155000025368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rouges'!$M$387:$M$390</c:f>
              <c:numCache>
                <c:formatCode>General</c:formatCode>
                <c:ptCount val="4"/>
                <c:pt idx="0">
                  <c:v>45114.130046296297</c:v>
                </c:pt>
                <c:pt idx="1">
                  <c:v>45114.131238425929</c:v>
                </c:pt>
                <c:pt idx="2">
                  <c:v>45114.131284722222</c:v>
                </c:pt>
                <c:pt idx="3">
                  <c:v>45114.152418981481</c:v>
                </c:pt>
              </c:numCache>
            </c:numRef>
          </c:xVal>
          <c:yVal>
            <c:numRef>
              <c:f>'[1]Data Brebis Points rouges'!$N$387:$N$390</c:f>
              <c:numCache>
                <c:formatCode>General</c:formatCode>
                <c:ptCount val="4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E04-435A-97C3-E50256186F47}"/>
            </c:ext>
          </c:extLst>
        </c:ser>
        <c:ser>
          <c:idx val="34"/>
          <c:order val="31"/>
          <c:tx>
            <c:strRef>
              <c:f>'[1]Data Brebis Points rouges'!$H$391</c:f>
              <c:strCache>
                <c:ptCount val="1"/>
                <c:pt idx="0">
                  <c:v>155000025312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'[1]Data Brebis Points rouges'!$M$391</c:f>
              <c:numCache>
                <c:formatCode>General</c:formatCode>
                <c:ptCount val="1"/>
                <c:pt idx="0">
                  <c:v>45114.743738425925</c:v>
                </c:pt>
              </c:numCache>
            </c:numRef>
          </c:xVal>
          <c:yVal>
            <c:numRef>
              <c:f>'[1]Data Brebis Points rouges'!$N$391</c:f>
              <c:numCache>
                <c:formatCode>General</c:formatCode>
                <c:ptCount val="1"/>
                <c:pt idx="0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E04-435A-97C3-E50256186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in val="45111.33400000000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Temps</a:t>
                </a:r>
              </a:p>
            </c:rich>
          </c:tx>
          <c:layout>
            <c:manualLayout>
              <c:xMode val="edge"/>
              <c:yMode val="edge"/>
              <c:x val="0.94990084177866374"/>
              <c:y val="0.93708555671243576"/>
            </c:manualLayout>
          </c:layout>
          <c:overlay val="0"/>
        </c:title>
        <c:numFmt formatCode="dd/mm/yy\ hh:mm" sourceLinked="0"/>
        <c:majorTickMark val="out"/>
        <c:minorTickMark val="out"/>
        <c:tickLblPos val="nextTo"/>
        <c:spPr>
          <a:ln/>
        </c:spPr>
        <c:txPr>
          <a:bodyPr rot="5400000" vert="horz"/>
          <a:lstStyle/>
          <a:p>
            <a:pPr>
              <a:defRPr/>
            </a:pPr>
            <a:endParaRPr lang="fr-FR"/>
          </a:p>
        </c:txPr>
        <c:crossAx val="1"/>
        <c:crosses val="autoZero"/>
        <c:crossBetween val="midCat"/>
        <c:majorUnit val="8.3333300000000013E-2"/>
        <c:minorUnit val="4.1666660000000015E-2"/>
      </c:valAx>
      <c:valAx>
        <c:axId val="1"/>
        <c:scaling>
          <c:orientation val="minMax"/>
          <c:max val="4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N° Brebis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crossAx val="19407588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txPr>
    <a:bodyPr/>
    <a:lstStyle/>
    <a:p>
      <a:pPr>
        <a:defRPr sz="1050"/>
      </a:pPr>
      <a:endParaRPr lang="fr-FR"/>
    </a:p>
  </c:tx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12</xdr:col>
      <xdr:colOff>57304</xdr:colOff>
      <xdr:row>60</xdr:row>
      <xdr:rowOff>24767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90360"/>
          <a:ext cx="10565284" cy="4413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25</xdr:col>
      <xdr:colOff>285750</xdr:colOff>
      <xdr:row>37</xdr:row>
      <xdr:rowOff>161925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33</xdr:col>
      <xdr:colOff>0</xdr:colOff>
      <xdr:row>41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0.23277</cdr:x>
      <cdr:y>0.06297</cdr:y>
    </cdr:from>
    <cdr:to>
      <cdr:x>0.23277</cdr:x>
      <cdr:y>0.85846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2766996" y="464820"/>
          <a:ext cx="0" cy="587219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0.55589</cdr:x>
      <cdr:y>0.064</cdr:y>
    </cdr:from>
    <cdr:to>
      <cdr:x>0.55589</cdr:x>
      <cdr:y>0.85891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6608034" y="472440"/>
          <a:ext cx="0" cy="5867948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0.27935</cdr:x>
      <cdr:y>0.06194</cdr:y>
    </cdr:from>
    <cdr:to>
      <cdr:x>0.27935</cdr:x>
      <cdr:y>0.86018</cdr:y>
    </cdr:to>
    <cdr:cxnSp macro="">
      <cdr:nvCxnSpPr>
        <cdr:cNvPr id="6" name="Connecteur droit 5"/>
        <cdr:cNvCxnSpPr/>
      </cdr:nvCxnSpPr>
      <cdr:spPr>
        <a:xfrm xmlns:a="http://schemas.openxmlformats.org/drawingml/2006/main" flipV="1">
          <a:off x="3320656" y="457200"/>
          <a:ext cx="0" cy="5892529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0.60248</cdr:x>
      <cdr:y>0.064</cdr:y>
    </cdr:from>
    <cdr:to>
      <cdr:x>0.60248</cdr:x>
      <cdr:y>0.85856</cdr:y>
    </cdr:to>
    <cdr:cxnSp macro="">
      <cdr:nvCxnSpPr>
        <cdr:cNvPr id="7" name="Connecteur droit 6"/>
        <cdr:cNvCxnSpPr/>
      </cdr:nvCxnSpPr>
      <cdr:spPr>
        <a:xfrm xmlns:a="http://schemas.openxmlformats.org/drawingml/2006/main" flipV="1">
          <a:off x="7161776" y="472440"/>
          <a:ext cx="0" cy="586536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bus/Documents/Nathalie/FichierPC/Labo/Exp&#233;rimentations/Effet%20m&#226;le/Progesterone-EffetMale/LaFage2023/DataIA-LaFage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s Protocole"/>
      <sheetName val="All Data 13-07-23"/>
      <sheetName val="Data Bélier"/>
      <sheetName val="Data Brebis"/>
      <sheetName val="Data Brebis Points rouges"/>
      <sheetName val="Feuil9"/>
      <sheetName val="EM Brebis Début-Fin"/>
      <sheetName val="EM Brebis Début-Fin (2)"/>
      <sheetName val="Data Nb Chevauchements"/>
      <sheetName val="Nb chevauchements bruts"/>
      <sheetName val="Nb chevauchements calculs"/>
      <sheetName val="CorrespondanceTags"/>
    </sheetNames>
    <sheetDataSet>
      <sheetData sheetId="0"/>
      <sheetData sheetId="1"/>
      <sheetData sheetId="2">
        <row r="2">
          <cell r="L2">
            <v>45113.431307870371</v>
          </cell>
          <cell r="M2">
            <v>1</v>
          </cell>
        </row>
        <row r="3">
          <cell r="L3">
            <v>45113.431331018517</v>
          </cell>
          <cell r="M3">
            <v>2</v>
          </cell>
        </row>
        <row r="4">
          <cell r="L4">
            <v>45113.431469907409</v>
          </cell>
          <cell r="M4">
            <v>3</v>
          </cell>
        </row>
        <row r="5">
          <cell r="L5">
            <v>45113.431493055556</v>
          </cell>
          <cell r="M5">
            <v>4</v>
          </cell>
        </row>
        <row r="6">
          <cell r="L6">
            <v>45113.43246527778</v>
          </cell>
          <cell r="M6">
            <v>5</v>
          </cell>
        </row>
        <row r="7">
          <cell r="L7">
            <v>45113.432476851849</v>
          </cell>
          <cell r="M7">
            <v>6</v>
          </cell>
        </row>
        <row r="8">
          <cell r="L8">
            <v>45113.432511574072</v>
          </cell>
          <cell r="M8">
            <v>7</v>
          </cell>
        </row>
        <row r="9">
          <cell r="L9">
            <v>45113.432534722226</v>
          </cell>
          <cell r="M9">
            <v>8</v>
          </cell>
        </row>
        <row r="10">
          <cell r="L10">
            <v>45113.432627314818</v>
          </cell>
          <cell r="M10">
            <v>9</v>
          </cell>
        </row>
        <row r="11">
          <cell r="L11">
            <v>45113.432673611111</v>
          </cell>
          <cell r="M11">
            <v>10</v>
          </cell>
        </row>
        <row r="12">
          <cell r="L12">
            <v>45113.432754629626</v>
          </cell>
          <cell r="M12">
            <v>11</v>
          </cell>
        </row>
        <row r="13">
          <cell r="L13">
            <v>45113.688738425924</v>
          </cell>
          <cell r="M13">
            <v>12</v>
          </cell>
        </row>
        <row r="14">
          <cell r="L14">
            <v>45113.690300925926</v>
          </cell>
          <cell r="M14">
            <v>13</v>
          </cell>
        </row>
        <row r="15">
          <cell r="L15">
            <v>45113.71671296296</v>
          </cell>
          <cell r="M15">
            <v>14</v>
          </cell>
        </row>
        <row r="16">
          <cell r="L16">
            <v>45113.716724537036</v>
          </cell>
          <cell r="M16">
            <v>15</v>
          </cell>
        </row>
        <row r="17">
          <cell r="L17">
            <v>45113.725381944445</v>
          </cell>
          <cell r="M17">
            <v>16</v>
          </cell>
        </row>
        <row r="18">
          <cell r="L18">
            <v>45113.726319444446</v>
          </cell>
          <cell r="M18">
            <v>17</v>
          </cell>
        </row>
        <row r="19">
          <cell r="L19">
            <v>45113.726342592592</v>
          </cell>
          <cell r="M19">
            <v>18</v>
          </cell>
        </row>
        <row r="20">
          <cell r="L20">
            <v>45113.772002314814</v>
          </cell>
          <cell r="M20">
            <v>19</v>
          </cell>
        </row>
        <row r="21">
          <cell r="L21">
            <v>45113.772187499999</v>
          </cell>
          <cell r="M21">
            <v>20</v>
          </cell>
        </row>
        <row r="22">
          <cell r="L22">
            <v>45113.937025462961</v>
          </cell>
          <cell r="M22">
            <v>21</v>
          </cell>
        </row>
        <row r="23">
          <cell r="L23">
            <v>45113.946377314816</v>
          </cell>
          <cell r="M23">
            <v>22</v>
          </cell>
        </row>
        <row r="24">
          <cell r="L24">
            <v>45113.967199074075</v>
          </cell>
          <cell r="M24">
            <v>23</v>
          </cell>
        </row>
        <row r="25">
          <cell r="L25">
            <v>45113.968599537038</v>
          </cell>
          <cell r="M25">
            <v>24</v>
          </cell>
        </row>
        <row r="26">
          <cell r="L26">
            <v>45113.991527777776</v>
          </cell>
          <cell r="M26">
            <v>25</v>
          </cell>
        </row>
        <row r="27">
          <cell r="L27">
            <v>45113.995833333334</v>
          </cell>
          <cell r="M27">
            <v>26</v>
          </cell>
        </row>
        <row r="28">
          <cell r="L28">
            <v>45114.006932870368</v>
          </cell>
          <cell r="M28">
            <v>27</v>
          </cell>
        </row>
        <row r="29">
          <cell r="L29">
            <v>45114.006990740738</v>
          </cell>
          <cell r="M29">
            <v>28</v>
          </cell>
        </row>
        <row r="30">
          <cell r="L30">
            <v>45114.0078125</v>
          </cell>
          <cell r="M30">
            <v>29</v>
          </cell>
        </row>
        <row r="31">
          <cell r="L31">
            <v>45114.007835648146</v>
          </cell>
          <cell r="M31">
            <v>30</v>
          </cell>
        </row>
        <row r="32">
          <cell r="L32">
            <v>45114.008796296293</v>
          </cell>
          <cell r="M32">
            <v>31</v>
          </cell>
        </row>
        <row r="33">
          <cell r="L33">
            <v>45114.011504629627</v>
          </cell>
          <cell r="M33">
            <v>32</v>
          </cell>
        </row>
        <row r="34">
          <cell r="L34">
            <v>45114.012303240743</v>
          </cell>
          <cell r="M34">
            <v>33</v>
          </cell>
        </row>
        <row r="35">
          <cell r="L35">
            <v>45114.012337962966</v>
          </cell>
          <cell r="M35">
            <v>34</v>
          </cell>
        </row>
        <row r="36">
          <cell r="L36">
            <v>45114.056064814817</v>
          </cell>
          <cell r="M36">
            <v>35</v>
          </cell>
        </row>
        <row r="37">
          <cell r="L37">
            <v>45114.062673611108</v>
          </cell>
          <cell r="M37">
            <v>36</v>
          </cell>
        </row>
        <row r="38">
          <cell r="L38">
            <v>45114.065393518518</v>
          </cell>
          <cell r="M38">
            <v>37</v>
          </cell>
        </row>
        <row r="39">
          <cell r="L39">
            <v>45114.105439814812</v>
          </cell>
          <cell r="M39">
            <v>38</v>
          </cell>
        </row>
        <row r="40">
          <cell r="L40">
            <v>45114.130046296297</v>
          </cell>
          <cell r="M40">
            <v>39</v>
          </cell>
        </row>
        <row r="41">
          <cell r="L41">
            <v>45114.131238425929</v>
          </cell>
          <cell r="M41">
            <v>40</v>
          </cell>
        </row>
        <row r="42">
          <cell r="L42">
            <v>45114.131284722222</v>
          </cell>
          <cell r="M42">
            <v>41</v>
          </cell>
        </row>
        <row r="43">
          <cell r="L43">
            <v>45114.146064814813</v>
          </cell>
          <cell r="M43">
            <v>42</v>
          </cell>
        </row>
        <row r="44">
          <cell r="L44">
            <v>45114.150682870371</v>
          </cell>
          <cell r="M44">
            <v>43</v>
          </cell>
        </row>
        <row r="45">
          <cell r="L45">
            <v>45114.151504629626</v>
          </cell>
          <cell r="M45">
            <v>44</v>
          </cell>
        </row>
        <row r="46">
          <cell r="L46">
            <v>45114.15152777778</v>
          </cell>
          <cell r="M46">
            <v>45</v>
          </cell>
        </row>
        <row r="47">
          <cell r="L47">
            <v>45114.152418981481</v>
          </cell>
          <cell r="M47">
            <v>46</v>
          </cell>
        </row>
        <row r="48">
          <cell r="L48">
            <v>45114.153240740743</v>
          </cell>
          <cell r="M48">
            <v>47</v>
          </cell>
        </row>
        <row r="49">
          <cell r="L49">
            <v>45114.154363425929</v>
          </cell>
          <cell r="M49">
            <v>48</v>
          </cell>
        </row>
        <row r="50">
          <cell r="L50">
            <v>45114.154386574075</v>
          </cell>
          <cell r="M50">
            <v>49</v>
          </cell>
        </row>
        <row r="51">
          <cell r="L51">
            <v>45114.155428240738</v>
          </cell>
          <cell r="M51">
            <v>50</v>
          </cell>
        </row>
        <row r="52">
          <cell r="L52">
            <v>45114.157465277778</v>
          </cell>
          <cell r="M52">
            <v>51</v>
          </cell>
        </row>
        <row r="53">
          <cell r="L53">
            <v>45114.159884259258</v>
          </cell>
          <cell r="M53">
            <v>52</v>
          </cell>
        </row>
        <row r="54">
          <cell r="L54">
            <v>45114.162395833337</v>
          </cell>
          <cell r="M54">
            <v>53</v>
          </cell>
        </row>
        <row r="55">
          <cell r="L55">
            <v>45114.163090277776</v>
          </cell>
          <cell r="M55">
            <v>54</v>
          </cell>
        </row>
        <row r="56">
          <cell r="L56">
            <v>45114.163518518515</v>
          </cell>
          <cell r="M56">
            <v>55</v>
          </cell>
        </row>
        <row r="57">
          <cell r="L57">
            <v>45114.185162037036</v>
          </cell>
          <cell r="M57">
            <v>56</v>
          </cell>
        </row>
        <row r="58">
          <cell r="L58">
            <v>45114.51599537037</v>
          </cell>
          <cell r="M58">
            <v>57</v>
          </cell>
        </row>
        <row r="59">
          <cell r="L59">
            <v>45114.64508101852</v>
          </cell>
          <cell r="M59">
            <v>58</v>
          </cell>
        </row>
        <row r="60">
          <cell r="L60">
            <v>45114.645462962966</v>
          </cell>
          <cell r="M60">
            <v>59</v>
          </cell>
        </row>
        <row r="61">
          <cell r="L61">
            <v>45114.645694444444</v>
          </cell>
          <cell r="M61">
            <v>60</v>
          </cell>
        </row>
        <row r="62">
          <cell r="L62">
            <v>45114.645775462966</v>
          </cell>
          <cell r="M62">
            <v>61</v>
          </cell>
        </row>
        <row r="63">
          <cell r="L63">
            <v>45114.646331018521</v>
          </cell>
          <cell r="M63">
            <v>62</v>
          </cell>
        </row>
        <row r="64">
          <cell r="L64">
            <v>45114.64634259259</v>
          </cell>
          <cell r="M64">
            <v>63</v>
          </cell>
        </row>
        <row r="65">
          <cell r="L65">
            <v>45114.646782407406</v>
          </cell>
          <cell r="M65">
            <v>64</v>
          </cell>
        </row>
        <row r="66">
          <cell r="L66">
            <v>45114.646990740737</v>
          </cell>
          <cell r="M66">
            <v>65</v>
          </cell>
        </row>
        <row r="67">
          <cell r="L67">
            <v>45114.647256944445</v>
          </cell>
          <cell r="M67">
            <v>66</v>
          </cell>
        </row>
        <row r="68">
          <cell r="L68">
            <v>45114.647673611114</v>
          </cell>
          <cell r="M68">
            <v>67</v>
          </cell>
        </row>
        <row r="69">
          <cell r="L69">
            <v>45114.647696759261</v>
          </cell>
          <cell r="M69">
            <v>68</v>
          </cell>
        </row>
        <row r="70">
          <cell r="L70">
            <v>45114.647881944446</v>
          </cell>
          <cell r="M70">
            <v>69</v>
          </cell>
        </row>
        <row r="71">
          <cell r="L71">
            <v>45114.648321759261</v>
          </cell>
          <cell r="M71">
            <v>70</v>
          </cell>
        </row>
        <row r="72">
          <cell r="L72">
            <v>45114.6484837963</v>
          </cell>
          <cell r="M72">
            <v>71</v>
          </cell>
        </row>
        <row r="73">
          <cell r="L73">
            <v>45114.649189814816</v>
          </cell>
          <cell r="M73">
            <v>72</v>
          </cell>
        </row>
        <row r="74">
          <cell r="L74">
            <v>45114.649270833332</v>
          </cell>
          <cell r="M74">
            <v>73</v>
          </cell>
        </row>
        <row r="75">
          <cell r="L75">
            <v>45114.669537037036</v>
          </cell>
          <cell r="M75">
            <v>74</v>
          </cell>
        </row>
        <row r="76">
          <cell r="L76">
            <v>45114.743738425925</v>
          </cell>
          <cell r="M76">
            <v>75</v>
          </cell>
        </row>
        <row r="77">
          <cell r="L77">
            <v>45114.763611111113</v>
          </cell>
          <cell r="M77">
            <v>76</v>
          </cell>
        </row>
        <row r="78">
          <cell r="L78">
            <v>45115.140462962961</v>
          </cell>
          <cell r="M78">
            <v>77</v>
          </cell>
        </row>
        <row r="79">
          <cell r="L79">
            <v>45111.34752314815</v>
          </cell>
          <cell r="M79">
            <v>1</v>
          </cell>
        </row>
        <row r="80">
          <cell r="L80">
            <v>45111.357986111114</v>
          </cell>
          <cell r="M80">
            <v>2</v>
          </cell>
        </row>
        <row r="81">
          <cell r="L81">
            <v>45112.28324074074</v>
          </cell>
          <cell r="M81">
            <v>3</v>
          </cell>
        </row>
        <row r="82">
          <cell r="L82">
            <v>45112.284085648149</v>
          </cell>
          <cell r="M82">
            <v>4</v>
          </cell>
        </row>
        <row r="83">
          <cell r="L83">
            <v>45112.284375000003</v>
          </cell>
          <cell r="M83">
            <v>5</v>
          </cell>
        </row>
        <row r="84">
          <cell r="L84">
            <v>45112.284571759257</v>
          </cell>
          <cell r="M84">
            <v>6</v>
          </cell>
        </row>
        <row r="85">
          <cell r="L85">
            <v>45112.284826388888</v>
          </cell>
          <cell r="M85">
            <v>7</v>
          </cell>
        </row>
        <row r="86">
          <cell r="L86">
            <v>45112.285185185188</v>
          </cell>
          <cell r="M86">
            <v>8</v>
          </cell>
        </row>
        <row r="87">
          <cell r="L87">
            <v>45112.285590277781</v>
          </cell>
          <cell r="M87">
            <v>9</v>
          </cell>
        </row>
        <row r="88">
          <cell r="L88">
            <v>45112.285937499997</v>
          </cell>
          <cell r="M88">
            <v>10</v>
          </cell>
        </row>
        <row r="89">
          <cell r="L89">
            <v>45112.286643518521</v>
          </cell>
          <cell r="M89">
            <v>11</v>
          </cell>
        </row>
        <row r="90">
          <cell r="L90">
            <v>45112.286666666667</v>
          </cell>
          <cell r="M90">
            <v>12</v>
          </cell>
        </row>
        <row r="91">
          <cell r="L91">
            <v>45112.28769675926</v>
          </cell>
          <cell r="M91">
            <v>13</v>
          </cell>
        </row>
        <row r="92">
          <cell r="L92">
            <v>45112.288090277776</v>
          </cell>
          <cell r="M92">
            <v>14</v>
          </cell>
        </row>
        <row r="93">
          <cell r="L93">
            <v>45112.292638888888</v>
          </cell>
          <cell r="M93">
            <v>15</v>
          </cell>
        </row>
        <row r="94">
          <cell r="L94">
            <v>45112.295335648145</v>
          </cell>
          <cell r="M94">
            <v>16</v>
          </cell>
        </row>
        <row r="95">
          <cell r="L95">
            <v>45112.323784722219</v>
          </cell>
          <cell r="M95">
            <v>17</v>
          </cell>
        </row>
        <row r="96">
          <cell r="L96">
            <v>45112.323969907404</v>
          </cell>
          <cell r="M96">
            <v>18</v>
          </cell>
        </row>
        <row r="97">
          <cell r="L97">
            <v>45112.324155092596</v>
          </cell>
          <cell r="M97">
            <v>19</v>
          </cell>
        </row>
        <row r="98">
          <cell r="L98">
            <v>45112.324340277781</v>
          </cell>
          <cell r="M98">
            <v>20</v>
          </cell>
        </row>
        <row r="99">
          <cell r="L99">
            <v>45112.324513888889</v>
          </cell>
          <cell r="M99">
            <v>21</v>
          </cell>
        </row>
        <row r="100">
          <cell r="L100">
            <v>45112.325011574074</v>
          </cell>
          <cell r="M100">
            <v>22</v>
          </cell>
        </row>
        <row r="101">
          <cell r="L101">
            <v>45112.32503472222</v>
          </cell>
          <cell r="M101">
            <v>23</v>
          </cell>
        </row>
        <row r="102">
          <cell r="L102">
            <v>45112.325300925928</v>
          </cell>
          <cell r="M102">
            <v>24</v>
          </cell>
        </row>
        <row r="103">
          <cell r="L103">
            <v>45112.325324074074</v>
          </cell>
          <cell r="M103">
            <v>25</v>
          </cell>
        </row>
        <row r="104">
          <cell r="L104">
            <v>45112.326018518521</v>
          </cell>
          <cell r="M104">
            <v>26</v>
          </cell>
        </row>
        <row r="105">
          <cell r="L105">
            <v>45112.327881944446</v>
          </cell>
          <cell r="M105">
            <v>27</v>
          </cell>
        </row>
        <row r="106">
          <cell r="L106">
            <v>45112.328287037039</v>
          </cell>
          <cell r="M106">
            <v>28</v>
          </cell>
        </row>
        <row r="107">
          <cell r="L107">
            <v>45112.328796296293</v>
          </cell>
          <cell r="M107">
            <v>29</v>
          </cell>
        </row>
        <row r="108">
          <cell r="L108">
            <v>45112.329236111109</v>
          </cell>
          <cell r="M108">
            <v>30</v>
          </cell>
        </row>
        <row r="109">
          <cell r="L109">
            <v>45112.329502314817</v>
          </cell>
          <cell r="M109">
            <v>31</v>
          </cell>
        </row>
        <row r="110">
          <cell r="L110">
            <v>45112.329965277779</v>
          </cell>
          <cell r="M110">
            <v>32</v>
          </cell>
        </row>
        <row r="111">
          <cell r="L111">
            <v>45112.331354166665</v>
          </cell>
          <cell r="M111">
            <v>33</v>
          </cell>
        </row>
        <row r="112">
          <cell r="L112">
            <v>45112.332430555558</v>
          </cell>
          <cell r="M112">
            <v>34</v>
          </cell>
        </row>
        <row r="113">
          <cell r="L113">
            <v>45112.332939814813</v>
          </cell>
          <cell r="M113">
            <v>35</v>
          </cell>
        </row>
        <row r="114">
          <cell r="L114">
            <v>45112.333402777775</v>
          </cell>
          <cell r="M114">
            <v>36</v>
          </cell>
        </row>
        <row r="115">
          <cell r="L115">
            <v>45112.334652777776</v>
          </cell>
          <cell r="M115">
            <v>37</v>
          </cell>
        </row>
        <row r="116">
          <cell r="L116">
            <v>45112.334976851853</v>
          </cell>
          <cell r="M116">
            <v>38</v>
          </cell>
        </row>
        <row r="117">
          <cell r="L117">
            <v>45112.336539351854</v>
          </cell>
          <cell r="M117">
            <v>39</v>
          </cell>
        </row>
        <row r="118">
          <cell r="L118">
            <v>45112.337002314816</v>
          </cell>
          <cell r="M118">
            <v>40</v>
          </cell>
        </row>
        <row r="119">
          <cell r="L119">
            <v>45112.395937499998</v>
          </cell>
          <cell r="M119">
            <v>41</v>
          </cell>
        </row>
        <row r="120">
          <cell r="L120">
            <v>45112.398773148147</v>
          </cell>
          <cell r="M120">
            <v>42</v>
          </cell>
        </row>
        <row r="121">
          <cell r="L121">
            <v>45112.400277777779</v>
          </cell>
          <cell r="M121">
            <v>43</v>
          </cell>
        </row>
        <row r="122">
          <cell r="L122">
            <v>45112.400289351855</v>
          </cell>
          <cell r="M122">
            <v>44</v>
          </cell>
        </row>
        <row r="123">
          <cell r="L123">
            <v>45112.401006944441</v>
          </cell>
          <cell r="M123">
            <v>45</v>
          </cell>
        </row>
        <row r="124">
          <cell r="L124">
            <v>45112.403634259259</v>
          </cell>
          <cell r="M124">
            <v>46</v>
          </cell>
        </row>
        <row r="125">
          <cell r="L125">
            <v>45112.406307870369</v>
          </cell>
          <cell r="M125">
            <v>47</v>
          </cell>
        </row>
        <row r="126">
          <cell r="L126">
            <v>45112.406331018516</v>
          </cell>
          <cell r="M126">
            <v>48</v>
          </cell>
        </row>
        <row r="127">
          <cell r="L127">
            <v>45112.406967592593</v>
          </cell>
          <cell r="M127">
            <v>49</v>
          </cell>
        </row>
        <row r="128">
          <cell r="L128">
            <v>45112.40724537037</v>
          </cell>
          <cell r="M128">
            <v>50</v>
          </cell>
        </row>
        <row r="129">
          <cell r="L129">
            <v>45112.413425925923</v>
          </cell>
          <cell r="M129">
            <v>51</v>
          </cell>
        </row>
        <row r="130">
          <cell r="L130">
            <v>45112.599062499998</v>
          </cell>
          <cell r="M130">
            <v>52</v>
          </cell>
        </row>
        <row r="131">
          <cell r="L131">
            <v>45112.600243055553</v>
          </cell>
          <cell r="M131">
            <v>53</v>
          </cell>
        </row>
        <row r="132">
          <cell r="L132">
            <v>45112.601863425924</v>
          </cell>
          <cell r="M132">
            <v>54</v>
          </cell>
        </row>
        <row r="133">
          <cell r="L133">
            <v>45112.603009259263</v>
          </cell>
          <cell r="M133">
            <v>55</v>
          </cell>
        </row>
        <row r="134">
          <cell r="L134">
            <v>45112.603449074071</v>
          </cell>
          <cell r="M134">
            <v>56</v>
          </cell>
        </row>
        <row r="135">
          <cell r="L135">
            <v>45112.77103009259</v>
          </cell>
          <cell r="M135">
            <v>57</v>
          </cell>
        </row>
        <row r="136">
          <cell r="L136">
            <v>45112.771331018521</v>
          </cell>
          <cell r="M136">
            <v>58</v>
          </cell>
        </row>
        <row r="137">
          <cell r="L137">
            <v>45112.772627314815</v>
          </cell>
          <cell r="M137">
            <v>59</v>
          </cell>
        </row>
        <row r="138">
          <cell r="L138">
            <v>45112.775995370372</v>
          </cell>
          <cell r="M138">
            <v>60</v>
          </cell>
        </row>
        <row r="139">
          <cell r="L139">
            <v>45112.986111111109</v>
          </cell>
          <cell r="M139">
            <v>61</v>
          </cell>
        </row>
        <row r="140">
          <cell r="L140">
            <v>45113.023159722223</v>
          </cell>
          <cell r="M140">
            <v>62</v>
          </cell>
        </row>
        <row r="141">
          <cell r="L141">
            <v>45113.559062499997</v>
          </cell>
          <cell r="M141">
            <v>64</v>
          </cell>
        </row>
        <row r="142">
          <cell r="L142">
            <v>45113.559525462966</v>
          </cell>
          <cell r="M142">
            <v>65</v>
          </cell>
        </row>
        <row r="143">
          <cell r="L143">
            <v>45113.611909722225</v>
          </cell>
          <cell r="M143">
            <v>66</v>
          </cell>
        </row>
        <row r="144">
          <cell r="L144">
            <v>45113.689826388887</v>
          </cell>
          <cell r="M144">
            <v>67</v>
          </cell>
        </row>
        <row r="145">
          <cell r="L145">
            <v>45113.696261574078</v>
          </cell>
          <cell r="M145">
            <v>68</v>
          </cell>
        </row>
        <row r="146">
          <cell r="L146">
            <v>45113.709143518521</v>
          </cell>
          <cell r="M146">
            <v>69</v>
          </cell>
        </row>
        <row r="147">
          <cell r="L147">
            <v>45113.736296296294</v>
          </cell>
          <cell r="M147">
            <v>70</v>
          </cell>
        </row>
        <row r="148">
          <cell r="L148">
            <v>45113.736863425926</v>
          </cell>
          <cell r="M148">
            <v>71</v>
          </cell>
        </row>
        <row r="149">
          <cell r="L149">
            <v>45113.738125000003</v>
          </cell>
          <cell r="M149">
            <v>72</v>
          </cell>
        </row>
        <row r="150">
          <cell r="L150">
            <v>45113.804976851854</v>
          </cell>
          <cell r="M150">
            <v>73</v>
          </cell>
        </row>
        <row r="151">
          <cell r="L151">
            <v>45113.807083333333</v>
          </cell>
          <cell r="M151">
            <v>74</v>
          </cell>
        </row>
        <row r="152">
          <cell r="L152">
            <v>45113.898553240739</v>
          </cell>
          <cell r="M152">
            <v>75</v>
          </cell>
        </row>
        <row r="153">
          <cell r="L153">
            <v>45113.899108796293</v>
          </cell>
          <cell r="M153">
            <v>76</v>
          </cell>
        </row>
        <row r="154">
          <cell r="L154">
            <v>45113.923425925925</v>
          </cell>
          <cell r="M154">
            <v>77</v>
          </cell>
        </row>
        <row r="155">
          <cell r="L155">
            <v>45113.931550925925</v>
          </cell>
          <cell r="M155">
            <v>78</v>
          </cell>
        </row>
        <row r="156">
          <cell r="L156">
            <v>45114.008761574078</v>
          </cell>
          <cell r="M156">
            <v>79</v>
          </cell>
        </row>
        <row r="157">
          <cell r="L157">
            <v>45114.047384259262</v>
          </cell>
          <cell r="M157">
            <v>80</v>
          </cell>
        </row>
        <row r="158">
          <cell r="L158">
            <v>45114.053159722222</v>
          </cell>
          <cell r="M158">
            <v>81</v>
          </cell>
        </row>
        <row r="159">
          <cell r="L159">
            <v>45114.057280092595</v>
          </cell>
          <cell r="M159">
            <v>82</v>
          </cell>
        </row>
        <row r="160">
          <cell r="L160">
            <v>45114.058819444443</v>
          </cell>
          <cell r="M160">
            <v>83</v>
          </cell>
        </row>
        <row r="161">
          <cell r="L161">
            <v>45114.061168981483</v>
          </cell>
          <cell r="M161">
            <v>84</v>
          </cell>
        </row>
        <row r="162">
          <cell r="L162">
            <v>45114.064618055556</v>
          </cell>
          <cell r="M162">
            <v>85</v>
          </cell>
        </row>
        <row r="163">
          <cell r="L163">
            <v>45114.105231481481</v>
          </cell>
          <cell r="M163">
            <v>86</v>
          </cell>
        </row>
        <row r="164">
          <cell r="L164">
            <v>45114.132245370369</v>
          </cell>
          <cell r="M164">
            <v>87</v>
          </cell>
        </row>
        <row r="165">
          <cell r="L165">
            <v>45114.238541666666</v>
          </cell>
          <cell r="M165">
            <v>89</v>
          </cell>
        </row>
        <row r="166">
          <cell r="L166">
            <v>45114.239166666666</v>
          </cell>
          <cell r="M166">
            <v>90</v>
          </cell>
        </row>
        <row r="167">
          <cell r="L167">
            <v>45114.412766203706</v>
          </cell>
          <cell r="M167">
            <v>91</v>
          </cell>
        </row>
        <row r="168">
          <cell r="L168">
            <v>45114.448020833333</v>
          </cell>
          <cell r="M168">
            <v>92</v>
          </cell>
        </row>
        <row r="169">
          <cell r="L169">
            <v>45114.606770833336</v>
          </cell>
          <cell r="M169">
            <v>93</v>
          </cell>
        </row>
        <row r="170">
          <cell r="L170">
            <v>45115.023969907408</v>
          </cell>
          <cell r="M170">
            <v>94</v>
          </cell>
        </row>
        <row r="171">
          <cell r="L171">
            <v>45115.047106481485</v>
          </cell>
          <cell r="M171">
            <v>95</v>
          </cell>
        </row>
        <row r="172">
          <cell r="L172">
            <v>45115.048750000002</v>
          </cell>
          <cell r="M172">
            <v>96</v>
          </cell>
        </row>
        <row r="173">
          <cell r="L173">
            <v>45115.054247685184</v>
          </cell>
          <cell r="M173">
            <v>97</v>
          </cell>
        </row>
        <row r="174">
          <cell r="L174">
            <v>45111.357199074075</v>
          </cell>
          <cell r="M174">
            <v>1</v>
          </cell>
        </row>
        <row r="175">
          <cell r="L175">
            <v>45112.481898148151</v>
          </cell>
          <cell r="M175">
            <v>2</v>
          </cell>
        </row>
        <row r="176">
          <cell r="L176">
            <v>45112.49728009259</v>
          </cell>
          <cell r="M176">
            <v>3</v>
          </cell>
        </row>
        <row r="177">
          <cell r="L177">
            <v>45112.497569444444</v>
          </cell>
          <cell r="M177">
            <v>4</v>
          </cell>
        </row>
        <row r="178">
          <cell r="L178">
            <v>45112.497708333336</v>
          </cell>
          <cell r="M178">
            <v>5</v>
          </cell>
        </row>
        <row r="179">
          <cell r="L179">
            <v>45112.49895833333</v>
          </cell>
          <cell r="M179">
            <v>6</v>
          </cell>
        </row>
        <row r="180">
          <cell r="L180">
            <v>45112.503240740742</v>
          </cell>
          <cell r="M180">
            <v>7</v>
          </cell>
        </row>
        <row r="181">
          <cell r="L181">
            <v>45112.512696759259</v>
          </cell>
          <cell r="M181">
            <v>8</v>
          </cell>
        </row>
        <row r="182">
          <cell r="L182">
            <v>45112.54347222222</v>
          </cell>
          <cell r="M182">
            <v>9</v>
          </cell>
        </row>
        <row r="183">
          <cell r="L183">
            <v>45112.543495370373</v>
          </cell>
          <cell r="M183">
            <v>10</v>
          </cell>
        </row>
        <row r="184">
          <cell r="L184">
            <v>45112.584583333337</v>
          </cell>
          <cell r="M184">
            <v>11</v>
          </cell>
        </row>
        <row r="185">
          <cell r="L185">
            <v>45112.601030092592</v>
          </cell>
          <cell r="M185">
            <v>12</v>
          </cell>
        </row>
        <row r="186">
          <cell r="L186">
            <v>45112.606539351851</v>
          </cell>
          <cell r="M186">
            <v>13</v>
          </cell>
        </row>
        <row r="187">
          <cell r="L187">
            <v>45112.615416666667</v>
          </cell>
          <cell r="M187">
            <v>14</v>
          </cell>
        </row>
        <row r="188">
          <cell r="L188">
            <v>45112.615694444445</v>
          </cell>
          <cell r="M188">
            <v>15</v>
          </cell>
        </row>
        <row r="189">
          <cell r="L189">
            <v>45112.748379629629</v>
          </cell>
          <cell r="M189">
            <v>16</v>
          </cell>
        </row>
        <row r="190">
          <cell r="L190">
            <v>45112.748518518521</v>
          </cell>
          <cell r="M190">
            <v>17</v>
          </cell>
        </row>
        <row r="191">
          <cell r="L191">
            <v>45112.749594907407</v>
          </cell>
          <cell r="M191">
            <v>18</v>
          </cell>
        </row>
        <row r="192">
          <cell r="L192">
            <v>45112.749976851854</v>
          </cell>
          <cell r="M192">
            <v>19</v>
          </cell>
        </row>
        <row r="193">
          <cell r="L193">
            <v>45111.870462962965</v>
          </cell>
          <cell r="M193">
            <v>1</v>
          </cell>
        </row>
        <row r="194">
          <cell r="L194">
            <v>45111.877210648148</v>
          </cell>
          <cell r="M194">
            <v>2</v>
          </cell>
        </row>
        <row r="195">
          <cell r="L195">
            <v>45111.881863425922</v>
          </cell>
          <cell r="M195">
            <v>3</v>
          </cell>
        </row>
        <row r="196">
          <cell r="L196">
            <v>45111.889768518522</v>
          </cell>
          <cell r="M196">
            <v>4</v>
          </cell>
        </row>
        <row r="197">
          <cell r="L197">
            <v>45112.30300925926</v>
          </cell>
          <cell r="M197">
            <v>5</v>
          </cell>
        </row>
        <row r="198">
          <cell r="L198">
            <v>45112.303067129629</v>
          </cell>
          <cell r="M198">
            <v>6</v>
          </cell>
        </row>
        <row r="199">
          <cell r="L199">
            <v>45112.303263888891</v>
          </cell>
          <cell r="M199">
            <v>7</v>
          </cell>
        </row>
        <row r="200">
          <cell r="L200">
            <v>45112.303726851853</v>
          </cell>
          <cell r="M200">
            <v>8</v>
          </cell>
        </row>
        <row r="201">
          <cell r="L201">
            <v>45112.303877314815</v>
          </cell>
          <cell r="M201">
            <v>9</v>
          </cell>
        </row>
        <row r="202">
          <cell r="L202">
            <v>45112.304328703707</v>
          </cell>
          <cell r="M202">
            <v>10</v>
          </cell>
        </row>
        <row r="203">
          <cell r="L203">
            <v>45112.304490740738</v>
          </cell>
          <cell r="M203">
            <v>11</v>
          </cell>
        </row>
        <row r="204">
          <cell r="L204">
            <v>45112.304606481484</v>
          </cell>
          <cell r="M204">
            <v>12</v>
          </cell>
        </row>
        <row r="205">
          <cell r="L205">
            <v>45112.304664351854</v>
          </cell>
          <cell r="M205">
            <v>13</v>
          </cell>
        </row>
        <row r="206">
          <cell r="L206">
            <v>45112.305324074077</v>
          </cell>
          <cell r="M206">
            <v>14</v>
          </cell>
        </row>
        <row r="207">
          <cell r="L207">
            <v>45112.30541666667</v>
          </cell>
          <cell r="M207">
            <v>15</v>
          </cell>
        </row>
        <row r="208">
          <cell r="L208">
            <v>45112.305567129632</v>
          </cell>
          <cell r="M208">
            <v>16</v>
          </cell>
        </row>
        <row r="209">
          <cell r="L209">
            <v>45112.308020833334</v>
          </cell>
          <cell r="M209">
            <v>17</v>
          </cell>
        </row>
        <row r="210">
          <cell r="L210">
            <v>45112.308240740742</v>
          </cell>
          <cell r="M210">
            <v>18</v>
          </cell>
        </row>
        <row r="211">
          <cell r="L211">
            <v>45112.315127314818</v>
          </cell>
          <cell r="M211">
            <v>19</v>
          </cell>
        </row>
        <row r="212">
          <cell r="L212">
            <v>45112.315381944441</v>
          </cell>
          <cell r="M212">
            <v>20</v>
          </cell>
        </row>
        <row r="213">
          <cell r="L213">
            <v>45112.315578703703</v>
          </cell>
          <cell r="M213">
            <v>21</v>
          </cell>
        </row>
        <row r="214">
          <cell r="L214">
            <v>45112.315659722219</v>
          </cell>
          <cell r="M214">
            <v>22</v>
          </cell>
        </row>
        <row r="215">
          <cell r="L215">
            <v>45112.621087962965</v>
          </cell>
          <cell r="M215">
            <v>23</v>
          </cell>
        </row>
        <row r="216">
          <cell r="L216">
            <v>45112.621435185189</v>
          </cell>
          <cell r="M216">
            <v>24</v>
          </cell>
        </row>
        <row r="217">
          <cell r="L217">
            <v>45112.62300925926</v>
          </cell>
          <cell r="M217">
            <v>25</v>
          </cell>
        </row>
        <row r="218">
          <cell r="L218">
            <v>45112.623611111114</v>
          </cell>
          <cell r="M218">
            <v>26</v>
          </cell>
        </row>
        <row r="219">
          <cell r="L219">
            <v>45112.623831018522</v>
          </cell>
          <cell r="M219">
            <v>27</v>
          </cell>
        </row>
        <row r="220">
          <cell r="L220">
            <v>45112.624386574076</v>
          </cell>
          <cell r="M220">
            <v>28</v>
          </cell>
        </row>
        <row r="221">
          <cell r="L221">
            <v>45112.624490740738</v>
          </cell>
          <cell r="M221">
            <v>29</v>
          </cell>
        </row>
        <row r="222">
          <cell r="L222">
            <v>45112.631782407407</v>
          </cell>
          <cell r="M222">
            <v>30</v>
          </cell>
        </row>
        <row r="223">
          <cell r="L223">
            <v>45112.632754629631</v>
          </cell>
          <cell r="M223">
            <v>31</v>
          </cell>
        </row>
        <row r="224">
          <cell r="L224">
            <v>45112.632824074077</v>
          </cell>
          <cell r="M224">
            <v>32</v>
          </cell>
        </row>
        <row r="225">
          <cell r="L225">
            <v>45112.632916666669</v>
          </cell>
          <cell r="M225">
            <v>33</v>
          </cell>
        </row>
        <row r="226">
          <cell r="L226">
            <v>45112.633576388886</v>
          </cell>
          <cell r="M226">
            <v>34</v>
          </cell>
        </row>
        <row r="227">
          <cell r="L227">
            <v>45112.633634259262</v>
          </cell>
          <cell r="M227">
            <v>35</v>
          </cell>
        </row>
        <row r="228">
          <cell r="L228">
            <v>45112.633726851855</v>
          </cell>
          <cell r="M228">
            <v>36</v>
          </cell>
        </row>
        <row r="229">
          <cell r="L229">
            <v>45112.633993055555</v>
          </cell>
          <cell r="M229">
            <v>37</v>
          </cell>
        </row>
        <row r="230">
          <cell r="L230">
            <v>45112.634513888886</v>
          </cell>
          <cell r="M230">
            <v>38</v>
          </cell>
        </row>
        <row r="231">
          <cell r="L231">
            <v>45112.634965277779</v>
          </cell>
          <cell r="M231">
            <v>39</v>
          </cell>
        </row>
        <row r="232">
          <cell r="L232">
            <v>45112.635312500002</v>
          </cell>
          <cell r="M232">
            <v>40</v>
          </cell>
        </row>
        <row r="233">
          <cell r="L233">
            <v>45112.635682870372</v>
          </cell>
          <cell r="M233">
            <v>41</v>
          </cell>
        </row>
        <row r="234">
          <cell r="L234">
            <v>45112.637071759258</v>
          </cell>
          <cell r="M234">
            <v>42</v>
          </cell>
        </row>
        <row r="235">
          <cell r="L235">
            <v>45112.637731481482</v>
          </cell>
          <cell r="M235">
            <v>43</v>
          </cell>
        </row>
        <row r="236">
          <cell r="L236">
            <v>45112.637777777774</v>
          </cell>
          <cell r="M236">
            <v>44</v>
          </cell>
        </row>
        <row r="237">
          <cell r="L237">
            <v>45112.638182870367</v>
          </cell>
          <cell r="M237">
            <v>45</v>
          </cell>
        </row>
        <row r="238">
          <cell r="L238">
            <v>45112.640497685185</v>
          </cell>
          <cell r="M238">
            <v>46</v>
          </cell>
        </row>
        <row r="239">
          <cell r="L239">
            <v>45112.640613425923</v>
          </cell>
          <cell r="M239">
            <v>47</v>
          </cell>
        </row>
        <row r="240">
          <cell r="L240">
            <v>45112.663032407407</v>
          </cell>
          <cell r="M240">
            <v>48</v>
          </cell>
        </row>
        <row r="241">
          <cell r="L241">
            <v>45112.663101851853</v>
          </cell>
          <cell r="M241">
            <v>49</v>
          </cell>
        </row>
        <row r="242">
          <cell r="L242">
            <v>45112.663263888891</v>
          </cell>
          <cell r="M242">
            <v>50</v>
          </cell>
        </row>
        <row r="243">
          <cell r="L243">
            <v>45112.68608796296</v>
          </cell>
          <cell r="M243">
            <v>51</v>
          </cell>
        </row>
        <row r="244">
          <cell r="L244">
            <v>45112.68644675926</v>
          </cell>
          <cell r="M244">
            <v>52</v>
          </cell>
        </row>
        <row r="245">
          <cell r="L245">
            <v>45112.686631944445</v>
          </cell>
          <cell r="M245">
            <v>53</v>
          </cell>
        </row>
        <row r="246">
          <cell r="L246">
            <v>45112.690335648149</v>
          </cell>
          <cell r="M246">
            <v>54</v>
          </cell>
        </row>
        <row r="247">
          <cell r="L247">
            <v>45112.692511574074</v>
          </cell>
          <cell r="M247">
            <v>55</v>
          </cell>
        </row>
        <row r="248">
          <cell r="L248">
            <v>45112.702800925923</v>
          </cell>
          <cell r="M248">
            <v>56</v>
          </cell>
        </row>
        <row r="249">
          <cell r="L249">
            <v>45112.703043981484</v>
          </cell>
          <cell r="M249">
            <v>57</v>
          </cell>
        </row>
        <row r="250">
          <cell r="L250">
            <v>45112.703611111108</v>
          </cell>
          <cell r="M250">
            <v>58</v>
          </cell>
        </row>
        <row r="251">
          <cell r="L251">
            <v>45112.703900462962</v>
          </cell>
          <cell r="M251">
            <v>59</v>
          </cell>
        </row>
        <row r="252">
          <cell r="L252">
            <v>45112.703993055555</v>
          </cell>
          <cell r="M252">
            <v>60</v>
          </cell>
        </row>
        <row r="253">
          <cell r="L253">
            <v>45112.705787037034</v>
          </cell>
          <cell r="M253">
            <v>61</v>
          </cell>
        </row>
        <row r="254">
          <cell r="L254">
            <v>45112.712800925925</v>
          </cell>
          <cell r="M254">
            <v>62</v>
          </cell>
        </row>
        <row r="255">
          <cell r="L255">
            <v>45112.715381944443</v>
          </cell>
          <cell r="M255">
            <v>63</v>
          </cell>
        </row>
        <row r="256">
          <cell r="L256">
            <v>45112.719548611109</v>
          </cell>
          <cell r="M256">
            <v>64</v>
          </cell>
        </row>
        <row r="257">
          <cell r="L257">
            <v>45112.755567129629</v>
          </cell>
          <cell r="M257">
            <v>65</v>
          </cell>
        </row>
        <row r="258">
          <cell r="L258">
            <v>45112.785787037035</v>
          </cell>
          <cell r="M258">
            <v>66</v>
          </cell>
        </row>
        <row r="259">
          <cell r="L259">
            <v>45112.786030092589</v>
          </cell>
          <cell r="M259">
            <v>67</v>
          </cell>
        </row>
        <row r="260">
          <cell r="L260">
            <v>45112.786180555559</v>
          </cell>
          <cell r="M260">
            <v>68</v>
          </cell>
        </row>
        <row r="261">
          <cell r="L261">
            <v>45112.788773148146</v>
          </cell>
          <cell r="M261">
            <v>69</v>
          </cell>
        </row>
        <row r="262">
          <cell r="L262">
            <v>45112.788807870369</v>
          </cell>
          <cell r="M262">
            <v>70</v>
          </cell>
        </row>
        <row r="263">
          <cell r="L263">
            <v>45112.788981481484</v>
          </cell>
          <cell r="M263">
            <v>71</v>
          </cell>
        </row>
        <row r="264">
          <cell r="L264">
            <v>45112.789525462962</v>
          </cell>
          <cell r="M264">
            <v>72</v>
          </cell>
        </row>
        <row r="265">
          <cell r="L265">
            <v>45112.789571759262</v>
          </cell>
          <cell r="M265">
            <v>73</v>
          </cell>
        </row>
        <row r="266">
          <cell r="L266">
            <v>45112.790335648147</v>
          </cell>
          <cell r="M266">
            <v>74</v>
          </cell>
        </row>
        <row r="267">
          <cell r="L267">
            <v>45112.790972222225</v>
          </cell>
          <cell r="M267">
            <v>75</v>
          </cell>
        </row>
        <row r="268">
          <cell r="L268">
            <v>45112.791122685187</v>
          </cell>
          <cell r="M268">
            <v>76</v>
          </cell>
        </row>
        <row r="269">
          <cell r="L269">
            <v>45112.791516203702</v>
          </cell>
          <cell r="M269">
            <v>77</v>
          </cell>
        </row>
        <row r="270">
          <cell r="L270">
            <v>45112.791574074072</v>
          </cell>
          <cell r="M270">
            <v>78</v>
          </cell>
        </row>
        <row r="271">
          <cell r="L271">
            <v>45112.932523148149</v>
          </cell>
          <cell r="M271">
            <v>79</v>
          </cell>
        </row>
        <row r="272">
          <cell r="L272">
            <v>45112.932546296295</v>
          </cell>
          <cell r="M272">
            <v>80</v>
          </cell>
        </row>
        <row r="273">
          <cell r="L273">
            <v>45113.00953703704</v>
          </cell>
          <cell r="M273">
            <v>81</v>
          </cell>
        </row>
        <row r="274">
          <cell r="L274">
            <v>45113.019502314812</v>
          </cell>
          <cell r="M274">
            <v>83</v>
          </cell>
        </row>
        <row r="275">
          <cell r="L275">
            <v>45113.022060185183</v>
          </cell>
          <cell r="M275">
            <v>84</v>
          </cell>
        </row>
        <row r="276">
          <cell r="L276">
            <v>45113.023182870369</v>
          </cell>
          <cell r="M276">
            <v>85</v>
          </cell>
        </row>
        <row r="277">
          <cell r="L277">
            <v>45113.023206018515</v>
          </cell>
          <cell r="M277">
            <v>86</v>
          </cell>
        </row>
        <row r="278">
          <cell r="L278">
            <v>45113.024537037039</v>
          </cell>
          <cell r="M278">
            <v>87</v>
          </cell>
        </row>
        <row r="279">
          <cell r="L279">
            <v>45113.037106481483</v>
          </cell>
          <cell r="M279">
            <v>88</v>
          </cell>
        </row>
        <row r="280">
          <cell r="L280">
            <v>45113.037141203706</v>
          </cell>
          <cell r="M280">
            <v>89</v>
          </cell>
        </row>
        <row r="281">
          <cell r="L281">
            <v>45113.039768518516</v>
          </cell>
          <cell r="M281">
            <v>90</v>
          </cell>
        </row>
        <row r="282">
          <cell r="L282">
            <v>45113.079247685186</v>
          </cell>
          <cell r="M282">
            <v>91</v>
          </cell>
        </row>
        <row r="283">
          <cell r="L283">
            <v>45113.079293981478</v>
          </cell>
          <cell r="M283">
            <v>92</v>
          </cell>
        </row>
        <row r="284">
          <cell r="L284">
            <v>45113.079861111109</v>
          </cell>
          <cell r="M284">
            <v>93</v>
          </cell>
        </row>
        <row r="285">
          <cell r="L285">
            <v>45113.084583333337</v>
          </cell>
          <cell r="M285">
            <v>94</v>
          </cell>
        </row>
        <row r="286">
          <cell r="L286">
            <v>45113.084618055553</v>
          </cell>
          <cell r="M286">
            <v>95</v>
          </cell>
        </row>
        <row r="287">
          <cell r="L287">
            <v>45113.122650462959</v>
          </cell>
          <cell r="M287">
            <v>96</v>
          </cell>
        </row>
        <row r="288">
          <cell r="L288">
            <v>45113.124930555554</v>
          </cell>
          <cell r="M288">
            <v>97</v>
          </cell>
        </row>
        <row r="289">
          <cell r="L289">
            <v>45113.190023148149</v>
          </cell>
          <cell r="M289">
            <v>98</v>
          </cell>
        </row>
        <row r="290">
          <cell r="L290">
            <v>45113.19122685185</v>
          </cell>
          <cell r="M290">
            <v>99</v>
          </cell>
        </row>
        <row r="291">
          <cell r="L291">
            <v>45113.191550925927</v>
          </cell>
          <cell r="M291">
            <v>100</v>
          </cell>
        </row>
        <row r="292">
          <cell r="L292">
            <v>45113.19222222222</v>
          </cell>
          <cell r="M292">
            <v>101</v>
          </cell>
        </row>
        <row r="293">
          <cell r="L293">
            <v>45113.192835648151</v>
          </cell>
          <cell r="M293">
            <v>102</v>
          </cell>
        </row>
        <row r="294">
          <cell r="L294">
            <v>45113.193240740744</v>
          </cell>
          <cell r="M294">
            <v>103</v>
          </cell>
        </row>
        <row r="295">
          <cell r="L295">
            <v>45113.194548611114</v>
          </cell>
          <cell r="M295">
            <v>104</v>
          </cell>
        </row>
        <row r="296">
          <cell r="L296">
            <v>45113.194733796299</v>
          </cell>
          <cell r="M296">
            <v>105</v>
          </cell>
        </row>
        <row r="297">
          <cell r="L297">
            <v>45113.194907407407</v>
          </cell>
          <cell r="M297">
            <v>106</v>
          </cell>
        </row>
        <row r="298">
          <cell r="L298">
            <v>45113.197604166664</v>
          </cell>
          <cell r="M298">
            <v>107</v>
          </cell>
        </row>
        <row r="299">
          <cell r="L299">
            <v>45113.197905092595</v>
          </cell>
          <cell r="M299">
            <v>108</v>
          </cell>
        </row>
        <row r="300">
          <cell r="L300">
            <v>45113.19835648148</v>
          </cell>
          <cell r="M300">
            <v>109</v>
          </cell>
        </row>
        <row r="301">
          <cell r="L301">
            <v>45113.198842592596</v>
          </cell>
          <cell r="M301">
            <v>110</v>
          </cell>
        </row>
        <row r="302">
          <cell r="L302">
            <v>45113.198865740742</v>
          </cell>
          <cell r="M302">
            <v>111</v>
          </cell>
        </row>
        <row r="303">
          <cell r="L303">
            <v>45113.199004629627</v>
          </cell>
          <cell r="M303">
            <v>112</v>
          </cell>
        </row>
        <row r="304">
          <cell r="L304">
            <v>45113.199178240742</v>
          </cell>
          <cell r="M304">
            <v>113</v>
          </cell>
        </row>
        <row r="305">
          <cell r="L305">
            <v>45113.199201388888</v>
          </cell>
          <cell r="M305">
            <v>114</v>
          </cell>
        </row>
        <row r="306">
          <cell r="L306">
            <v>45113.199490740742</v>
          </cell>
          <cell r="M306">
            <v>115</v>
          </cell>
        </row>
        <row r="307">
          <cell r="L307">
            <v>45113.200671296298</v>
          </cell>
          <cell r="M307">
            <v>116</v>
          </cell>
        </row>
        <row r="308">
          <cell r="L308">
            <v>45113.200844907406</v>
          </cell>
          <cell r="M308">
            <v>117</v>
          </cell>
        </row>
        <row r="309">
          <cell r="L309">
            <v>45113.201701388891</v>
          </cell>
          <cell r="M309">
            <v>118</v>
          </cell>
        </row>
        <row r="310">
          <cell r="L310">
            <v>45113.20171296296</v>
          </cell>
          <cell r="M310">
            <v>119</v>
          </cell>
        </row>
        <row r="311">
          <cell r="L311">
            <v>45113.201898148145</v>
          </cell>
          <cell r="M311">
            <v>120</v>
          </cell>
        </row>
        <row r="312">
          <cell r="L312">
            <v>45113.202210648145</v>
          </cell>
          <cell r="M312">
            <v>121</v>
          </cell>
        </row>
        <row r="313">
          <cell r="L313">
            <v>45113.202222222222</v>
          </cell>
          <cell r="M313">
            <v>122</v>
          </cell>
        </row>
        <row r="314">
          <cell r="L314">
            <v>45113.202476851853</v>
          </cell>
          <cell r="M314">
            <v>123</v>
          </cell>
        </row>
        <row r="315">
          <cell r="L315">
            <v>45113.202719907407</v>
          </cell>
          <cell r="M315">
            <v>124</v>
          </cell>
        </row>
        <row r="316">
          <cell r="L316">
            <v>45113.202743055554</v>
          </cell>
          <cell r="M316">
            <v>125</v>
          </cell>
        </row>
        <row r="317">
          <cell r="L317">
            <v>45113.203287037039</v>
          </cell>
          <cell r="M317">
            <v>126</v>
          </cell>
        </row>
        <row r="318">
          <cell r="L318">
            <v>45113.203668981485</v>
          </cell>
          <cell r="M318">
            <v>127</v>
          </cell>
        </row>
        <row r="319">
          <cell r="L319">
            <v>45113.204108796293</v>
          </cell>
          <cell r="M319">
            <v>128</v>
          </cell>
        </row>
        <row r="320">
          <cell r="L320">
            <v>45113.204386574071</v>
          </cell>
          <cell r="M320">
            <v>129</v>
          </cell>
        </row>
        <row r="321">
          <cell r="L321">
            <v>45113.205613425926</v>
          </cell>
          <cell r="M321">
            <v>130</v>
          </cell>
        </row>
        <row r="322">
          <cell r="L322">
            <v>45113.209189814814</v>
          </cell>
          <cell r="M322">
            <v>131</v>
          </cell>
        </row>
        <row r="323">
          <cell r="L323">
            <v>45113.209201388891</v>
          </cell>
          <cell r="M323">
            <v>132</v>
          </cell>
        </row>
        <row r="324">
          <cell r="L324">
            <v>45113.285856481481</v>
          </cell>
          <cell r="M324">
            <v>133</v>
          </cell>
        </row>
        <row r="325">
          <cell r="L325">
            <v>45113.289641203701</v>
          </cell>
          <cell r="M325">
            <v>134</v>
          </cell>
        </row>
        <row r="326">
          <cell r="L326">
            <v>45113.29005787037</v>
          </cell>
          <cell r="M326">
            <v>135</v>
          </cell>
        </row>
        <row r="327">
          <cell r="L327">
            <v>45113.290081018517</v>
          </cell>
          <cell r="M327">
            <v>136</v>
          </cell>
        </row>
        <row r="328">
          <cell r="L328">
            <v>45113.293622685182</v>
          </cell>
          <cell r="M328">
            <v>137</v>
          </cell>
        </row>
        <row r="329">
          <cell r="L329">
            <v>45113.397291666668</v>
          </cell>
          <cell r="M329">
            <v>138</v>
          </cell>
        </row>
        <row r="330">
          <cell r="L330">
            <v>45113.397349537037</v>
          </cell>
          <cell r="M330">
            <v>139</v>
          </cell>
        </row>
        <row r="331">
          <cell r="L331">
            <v>45113.399062500001</v>
          </cell>
          <cell r="M331">
            <v>140</v>
          </cell>
        </row>
        <row r="332">
          <cell r="L332">
            <v>45113.400787037041</v>
          </cell>
          <cell r="M332">
            <v>141</v>
          </cell>
        </row>
        <row r="333">
          <cell r="L333">
            <v>45113.401782407411</v>
          </cell>
          <cell r="M333">
            <v>142</v>
          </cell>
        </row>
        <row r="334">
          <cell r="L334">
            <v>45113.40420138889</v>
          </cell>
          <cell r="M334">
            <v>143</v>
          </cell>
        </row>
        <row r="335">
          <cell r="L335">
            <v>45113.409768518519</v>
          </cell>
          <cell r="M335">
            <v>144</v>
          </cell>
        </row>
        <row r="336">
          <cell r="L336">
            <v>45113.442708333336</v>
          </cell>
          <cell r="M336">
            <v>145</v>
          </cell>
        </row>
        <row r="337">
          <cell r="L337">
            <v>45113.443692129629</v>
          </cell>
          <cell r="M337">
            <v>146</v>
          </cell>
        </row>
        <row r="338">
          <cell r="L338">
            <v>45113.4453587963</v>
          </cell>
          <cell r="M338">
            <v>147</v>
          </cell>
        </row>
        <row r="339">
          <cell r="L339">
            <v>45113.445381944446</v>
          </cell>
          <cell r="M339">
            <v>148</v>
          </cell>
        </row>
        <row r="340">
          <cell r="L340">
            <v>45113.446331018517</v>
          </cell>
          <cell r="M340">
            <v>149</v>
          </cell>
        </row>
        <row r="341">
          <cell r="L341">
            <v>45113.450312499997</v>
          </cell>
          <cell r="M341">
            <v>150</v>
          </cell>
        </row>
        <row r="342">
          <cell r="L342">
            <v>45113.532719907409</v>
          </cell>
          <cell r="M342">
            <v>151</v>
          </cell>
        </row>
        <row r="343">
          <cell r="L343">
            <v>45113.568935185183</v>
          </cell>
          <cell r="M343">
            <v>152</v>
          </cell>
        </row>
        <row r="344">
          <cell r="L344">
            <v>45113.570335648146</v>
          </cell>
          <cell r="M344">
            <v>153</v>
          </cell>
        </row>
        <row r="345">
          <cell r="L345">
            <v>45113.572974537034</v>
          </cell>
          <cell r="M345">
            <v>154</v>
          </cell>
        </row>
        <row r="346">
          <cell r="L346">
            <v>45113.573009259257</v>
          </cell>
          <cell r="M346">
            <v>155</v>
          </cell>
        </row>
        <row r="347">
          <cell r="L347">
            <v>45113.577499999999</v>
          </cell>
          <cell r="M347">
            <v>156</v>
          </cell>
        </row>
        <row r="348">
          <cell r="L348">
            <v>45113.577962962961</v>
          </cell>
          <cell r="M348">
            <v>157</v>
          </cell>
        </row>
        <row r="349">
          <cell r="L349">
            <v>45113.577974537038</v>
          </cell>
          <cell r="M349">
            <v>158</v>
          </cell>
        </row>
        <row r="350">
          <cell r="L350">
            <v>45113.578564814816</v>
          </cell>
          <cell r="M350">
            <v>159</v>
          </cell>
        </row>
        <row r="351">
          <cell r="L351">
            <v>45113.578842592593</v>
          </cell>
          <cell r="M351">
            <v>160</v>
          </cell>
        </row>
        <row r="352">
          <cell r="L352">
            <v>45113.659039351849</v>
          </cell>
          <cell r="M352">
            <v>161</v>
          </cell>
        </row>
        <row r="353">
          <cell r="L353">
            <v>45113.659537037034</v>
          </cell>
          <cell r="M353">
            <v>162</v>
          </cell>
        </row>
        <row r="354">
          <cell r="L354">
            <v>45113.663078703707</v>
          </cell>
          <cell r="M354">
            <v>163</v>
          </cell>
        </row>
        <row r="355">
          <cell r="L355">
            <v>45113.66369212963</v>
          </cell>
          <cell r="M355">
            <v>164</v>
          </cell>
        </row>
        <row r="356">
          <cell r="L356">
            <v>45113.682060185187</v>
          </cell>
          <cell r="M356">
            <v>165</v>
          </cell>
        </row>
        <row r="357">
          <cell r="L357">
            <v>45113.682314814818</v>
          </cell>
          <cell r="M357">
            <v>166</v>
          </cell>
        </row>
        <row r="358">
          <cell r="L358">
            <v>45113.683148148149</v>
          </cell>
          <cell r="M358">
            <v>167</v>
          </cell>
        </row>
        <row r="359">
          <cell r="L359">
            <v>45113.68378472222</v>
          </cell>
          <cell r="M359">
            <v>168</v>
          </cell>
        </row>
        <row r="360">
          <cell r="L360">
            <v>45113.684918981482</v>
          </cell>
          <cell r="M360">
            <v>169</v>
          </cell>
        </row>
        <row r="361">
          <cell r="L361">
            <v>45113.686064814814</v>
          </cell>
          <cell r="M361">
            <v>170</v>
          </cell>
        </row>
        <row r="362">
          <cell r="L362">
            <v>45113.688935185186</v>
          </cell>
          <cell r="M362">
            <v>171</v>
          </cell>
        </row>
        <row r="363">
          <cell r="L363">
            <v>45113.689143518517</v>
          </cell>
          <cell r="M363">
            <v>172</v>
          </cell>
        </row>
        <row r="364">
          <cell r="L364">
            <v>45113.689363425925</v>
          </cell>
          <cell r="M364">
            <v>173</v>
          </cell>
        </row>
        <row r="365">
          <cell r="L365">
            <v>45113.708668981482</v>
          </cell>
          <cell r="M365">
            <v>174</v>
          </cell>
        </row>
        <row r="366">
          <cell r="L366">
            <v>45113.709699074076</v>
          </cell>
          <cell r="M366">
            <v>175</v>
          </cell>
        </row>
        <row r="367">
          <cell r="L367">
            <v>45113.837546296294</v>
          </cell>
          <cell r="M367">
            <v>176</v>
          </cell>
        </row>
        <row r="368">
          <cell r="L368">
            <v>45113.846747685187</v>
          </cell>
          <cell r="M368">
            <v>177</v>
          </cell>
        </row>
        <row r="369">
          <cell r="L369">
            <v>45113.847037037034</v>
          </cell>
          <cell r="M369">
            <v>178</v>
          </cell>
        </row>
        <row r="370">
          <cell r="L370">
            <v>45113.848749999997</v>
          </cell>
          <cell r="M370">
            <v>179</v>
          </cell>
        </row>
        <row r="371">
          <cell r="L371">
            <v>45113.849965277775</v>
          </cell>
          <cell r="M371">
            <v>180</v>
          </cell>
        </row>
        <row r="372">
          <cell r="L372">
            <v>45113.849988425929</v>
          </cell>
          <cell r="M372">
            <v>181</v>
          </cell>
        </row>
        <row r="373">
          <cell r="L373">
            <v>45113.850266203706</v>
          </cell>
          <cell r="M373">
            <v>182</v>
          </cell>
        </row>
        <row r="374">
          <cell r="L374">
            <v>45113.850428240738</v>
          </cell>
          <cell r="M374">
            <v>183</v>
          </cell>
        </row>
        <row r="375">
          <cell r="L375">
            <v>45113.850555555553</v>
          </cell>
          <cell r="M375">
            <v>184</v>
          </cell>
        </row>
        <row r="376">
          <cell r="L376">
            <v>45113.850798611114</v>
          </cell>
          <cell r="M376">
            <v>185</v>
          </cell>
        </row>
        <row r="377">
          <cell r="L377">
            <v>45113.851168981484</v>
          </cell>
          <cell r="M377">
            <v>186</v>
          </cell>
        </row>
        <row r="378">
          <cell r="L378">
            <v>45113.851400462961</v>
          </cell>
          <cell r="M378">
            <v>187</v>
          </cell>
        </row>
        <row r="379">
          <cell r="L379">
            <v>45113.861226851855</v>
          </cell>
          <cell r="M379">
            <v>188</v>
          </cell>
        </row>
        <row r="380">
          <cell r="L380">
            <v>45113.892812500002</v>
          </cell>
          <cell r="M380">
            <v>189</v>
          </cell>
        </row>
        <row r="381">
          <cell r="L381">
            <v>45113.89329861111</v>
          </cell>
          <cell r="M381">
            <v>190</v>
          </cell>
        </row>
        <row r="382">
          <cell r="L382">
            <v>45113.89340277778</v>
          </cell>
          <cell r="M382">
            <v>191</v>
          </cell>
        </row>
        <row r="383">
          <cell r="L383">
            <v>45113.894155092596</v>
          </cell>
          <cell r="M383">
            <v>192</v>
          </cell>
        </row>
        <row r="384">
          <cell r="L384">
            <v>45113.894490740742</v>
          </cell>
          <cell r="M384">
            <v>193</v>
          </cell>
        </row>
        <row r="385">
          <cell r="L385">
            <v>45113.908182870371</v>
          </cell>
          <cell r="M385">
            <v>194</v>
          </cell>
        </row>
        <row r="386">
          <cell r="L386">
            <v>45113.908368055556</v>
          </cell>
          <cell r="M386">
            <v>195</v>
          </cell>
        </row>
        <row r="387">
          <cell r="L387">
            <v>45114.277708333335</v>
          </cell>
          <cell r="M387">
            <v>196</v>
          </cell>
        </row>
        <row r="388">
          <cell r="L388">
            <v>45114.279768518521</v>
          </cell>
          <cell r="M388">
            <v>197</v>
          </cell>
        </row>
        <row r="389">
          <cell r="L389">
            <v>45114.279918981483</v>
          </cell>
          <cell r="M389">
            <v>198</v>
          </cell>
        </row>
        <row r="390">
          <cell r="L390">
            <v>45114.280185185184</v>
          </cell>
          <cell r="M390">
            <v>199</v>
          </cell>
        </row>
        <row r="391">
          <cell r="L391">
            <v>45114.2809375</v>
          </cell>
          <cell r="M391">
            <v>200</v>
          </cell>
        </row>
      </sheetData>
      <sheetData sheetId="3"/>
      <sheetData sheetId="4">
        <row r="2">
          <cell r="H2" t="str">
            <v>155000025392</v>
          </cell>
          <cell r="M2">
            <v>45111.34752314815</v>
          </cell>
        </row>
        <row r="3">
          <cell r="M3">
            <v>45113.559062499997</v>
          </cell>
          <cell r="N3">
            <v>1</v>
          </cell>
        </row>
        <row r="4">
          <cell r="M4">
            <v>45114.062673611108</v>
          </cell>
          <cell r="N4">
            <v>1</v>
          </cell>
        </row>
        <row r="5">
          <cell r="M5">
            <v>45114.065393518518</v>
          </cell>
          <cell r="N5">
            <v>1</v>
          </cell>
        </row>
        <row r="6">
          <cell r="M6">
            <v>45114.105439814812</v>
          </cell>
          <cell r="N6">
            <v>1</v>
          </cell>
        </row>
        <row r="7">
          <cell r="M7">
            <v>45114.146064814813</v>
          </cell>
          <cell r="N7">
            <v>1</v>
          </cell>
        </row>
        <row r="8">
          <cell r="M8">
            <v>45114.150682870371</v>
          </cell>
          <cell r="N8">
            <v>1</v>
          </cell>
        </row>
        <row r="9">
          <cell r="M9">
            <v>45114.151504629626</v>
          </cell>
          <cell r="N9">
            <v>1</v>
          </cell>
        </row>
        <row r="10">
          <cell r="M10">
            <v>45114.15152777778</v>
          </cell>
          <cell r="N10">
            <v>1</v>
          </cell>
        </row>
        <row r="11">
          <cell r="M11">
            <v>45114.153240740743</v>
          </cell>
          <cell r="N11">
            <v>1</v>
          </cell>
        </row>
        <row r="12">
          <cell r="M12">
            <v>45114.154363425929</v>
          </cell>
          <cell r="N12">
            <v>1</v>
          </cell>
        </row>
        <row r="13">
          <cell r="M13">
            <v>45114.154386574075</v>
          </cell>
          <cell r="N13">
            <v>1</v>
          </cell>
        </row>
        <row r="14">
          <cell r="M14">
            <v>45114.155428240738</v>
          </cell>
          <cell r="N14">
            <v>1</v>
          </cell>
        </row>
        <row r="15">
          <cell r="M15">
            <v>45114.157465277778</v>
          </cell>
          <cell r="N15">
            <v>1</v>
          </cell>
        </row>
        <row r="16">
          <cell r="M16">
            <v>45114.159884259258</v>
          </cell>
          <cell r="N16">
            <v>1</v>
          </cell>
        </row>
        <row r="17">
          <cell r="M17">
            <v>45114.162395833337</v>
          </cell>
          <cell r="N17">
            <v>1</v>
          </cell>
        </row>
        <row r="18">
          <cell r="M18">
            <v>45114.163090277776</v>
          </cell>
          <cell r="N18">
            <v>1</v>
          </cell>
        </row>
        <row r="19">
          <cell r="M19">
            <v>45114.163518518515</v>
          </cell>
          <cell r="N19">
            <v>1</v>
          </cell>
        </row>
        <row r="20">
          <cell r="H20" t="str">
            <v>155000025230</v>
          </cell>
          <cell r="M20">
            <v>45111.357199074075</v>
          </cell>
          <cell r="N20">
            <v>2</v>
          </cell>
        </row>
        <row r="21">
          <cell r="M21">
            <v>45113.4453587963</v>
          </cell>
          <cell r="N21">
            <v>2</v>
          </cell>
        </row>
        <row r="22">
          <cell r="M22">
            <v>45113.445381944446</v>
          </cell>
          <cell r="N22">
            <v>2</v>
          </cell>
        </row>
        <row r="23">
          <cell r="H23" t="str">
            <v>155000025376</v>
          </cell>
          <cell r="M23">
            <v>45111.357986111114</v>
          </cell>
          <cell r="N23">
            <v>3</v>
          </cell>
        </row>
        <row r="24">
          <cell r="M24">
            <v>45115.023969907408</v>
          </cell>
          <cell r="N24">
            <v>3</v>
          </cell>
        </row>
        <row r="25">
          <cell r="M25">
            <v>45115.047106481485</v>
          </cell>
          <cell r="N25">
            <v>3</v>
          </cell>
        </row>
        <row r="26">
          <cell r="M26">
            <v>45115.048750000002</v>
          </cell>
          <cell r="N26">
            <v>3</v>
          </cell>
        </row>
        <row r="27">
          <cell r="M27">
            <v>45115.054247685184</v>
          </cell>
          <cell r="N27">
            <v>3</v>
          </cell>
        </row>
        <row r="28">
          <cell r="M28">
            <v>45115.140462962961</v>
          </cell>
          <cell r="N28">
            <v>3</v>
          </cell>
        </row>
        <row r="29">
          <cell r="H29" t="str">
            <v>155000025701</v>
          </cell>
          <cell r="M29">
            <v>45111.870462962965</v>
          </cell>
          <cell r="N29">
            <v>4</v>
          </cell>
        </row>
        <row r="30">
          <cell r="M30">
            <v>45111.877210648148</v>
          </cell>
          <cell r="N30">
            <v>4</v>
          </cell>
        </row>
        <row r="31">
          <cell r="M31">
            <v>45111.889768518522</v>
          </cell>
          <cell r="N31">
            <v>4</v>
          </cell>
        </row>
        <row r="32">
          <cell r="M32">
            <v>45113.401782407411</v>
          </cell>
          <cell r="N32">
            <v>4</v>
          </cell>
        </row>
        <row r="33">
          <cell r="M33">
            <v>45113.40420138889</v>
          </cell>
          <cell r="N33">
            <v>4</v>
          </cell>
        </row>
        <row r="34">
          <cell r="M34">
            <v>45113.568935185183</v>
          </cell>
          <cell r="N34">
            <v>4</v>
          </cell>
        </row>
        <row r="35">
          <cell r="M35">
            <v>45113.578842592593</v>
          </cell>
          <cell r="N35">
            <v>4</v>
          </cell>
        </row>
        <row r="36">
          <cell r="M36">
            <v>45113.684918981482</v>
          </cell>
          <cell r="N36">
            <v>4</v>
          </cell>
        </row>
        <row r="37">
          <cell r="H37" t="str">
            <v>155000025741</v>
          </cell>
          <cell r="M37">
            <v>45111.881863425922</v>
          </cell>
          <cell r="N37">
            <v>5</v>
          </cell>
        </row>
        <row r="38">
          <cell r="H38" t="str">
            <v>155000025923</v>
          </cell>
          <cell r="M38">
            <v>45112.28324074074</v>
          </cell>
          <cell r="N38">
            <v>6</v>
          </cell>
        </row>
        <row r="39">
          <cell r="M39">
            <v>45112.284085648149</v>
          </cell>
          <cell r="N39">
            <v>6</v>
          </cell>
        </row>
        <row r="40">
          <cell r="M40">
            <v>45112.284375000003</v>
          </cell>
          <cell r="N40">
            <v>6</v>
          </cell>
        </row>
        <row r="41">
          <cell r="M41">
            <v>45112.284571759257</v>
          </cell>
          <cell r="N41">
            <v>6</v>
          </cell>
        </row>
        <row r="42">
          <cell r="M42">
            <v>45112.284826388888</v>
          </cell>
          <cell r="N42">
            <v>6</v>
          </cell>
        </row>
        <row r="43">
          <cell r="M43">
            <v>45112.285185185188</v>
          </cell>
          <cell r="N43">
            <v>6</v>
          </cell>
        </row>
        <row r="44">
          <cell r="M44">
            <v>45112.285590277781</v>
          </cell>
          <cell r="N44">
            <v>6</v>
          </cell>
        </row>
        <row r="45">
          <cell r="M45">
            <v>45112.285937499997</v>
          </cell>
          <cell r="N45">
            <v>6</v>
          </cell>
        </row>
        <row r="46">
          <cell r="M46">
            <v>45112.286643518521</v>
          </cell>
          <cell r="N46">
            <v>6</v>
          </cell>
        </row>
        <row r="47">
          <cell r="M47">
            <v>45112.286666666667</v>
          </cell>
          <cell r="N47">
            <v>6</v>
          </cell>
        </row>
        <row r="48">
          <cell r="M48">
            <v>45112.28769675926</v>
          </cell>
          <cell r="N48">
            <v>6</v>
          </cell>
        </row>
        <row r="49">
          <cell r="M49">
            <v>45112.288090277776</v>
          </cell>
          <cell r="N49">
            <v>6</v>
          </cell>
        </row>
        <row r="50">
          <cell r="M50">
            <v>45112.292638888888</v>
          </cell>
          <cell r="N50">
            <v>6</v>
          </cell>
        </row>
        <row r="51">
          <cell r="M51">
            <v>45112.323784722219</v>
          </cell>
          <cell r="N51">
            <v>6</v>
          </cell>
        </row>
        <row r="52">
          <cell r="M52">
            <v>45112.323969907404</v>
          </cell>
          <cell r="N52">
            <v>6</v>
          </cell>
        </row>
        <row r="53">
          <cell r="M53">
            <v>45112.324155092596</v>
          </cell>
          <cell r="N53">
            <v>6</v>
          </cell>
        </row>
        <row r="54">
          <cell r="M54">
            <v>45112.324340277781</v>
          </cell>
          <cell r="N54">
            <v>6</v>
          </cell>
        </row>
        <row r="55">
          <cell r="M55">
            <v>45112.324513888889</v>
          </cell>
          <cell r="N55">
            <v>6</v>
          </cell>
        </row>
        <row r="56">
          <cell r="M56">
            <v>45112.325011574074</v>
          </cell>
          <cell r="N56">
            <v>6</v>
          </cell>
        </row>
        <row r="57">
          <cell r="M57">
            <v>45112.32503472222</v>
          </cell>
          <cell r="N57">
            <v>6</v>
          </cell>
        </row>
        <row r="58">
          <cell r="M58">
            <v>45112.325300925928</v>
          </cell>
          <cell r="N58">
            <v>6</v>
          </cell>
        </row>
        <row r="59">
          <cell r="M59">
            <v>45112.325324074074</v>
          </cell>
          <cell r="N59">
            <v>6</v>
          </cell>
        </row>
        <row r="60">
          <cell r="M60">
            <v>45112.326018518521</v>
          </cell>
          <cell r="N60">
            <v>6</v>
          </cell>
        </row>
        <row r="61">
          <cell r="M61">
            <v>45112.327881944446</v>
          </cell>
          <cell r="N61">
            <v>6</v>
          </cell>
        </row>
        <row r="62">
          <cell r="M62">
            <v>45112.328287037039</v>
          </cell>
          <cell r="N62">
            <v>6</v>
          </cell>
        </row>
        <row r="63">
          <cell r="M63">
            <v>45112.328796296293</v>
          </cell>
          <cell r="N63">
            <v>6</v>
          </cell>
        </row>
        <row r="64">
          <cell r="M64">
            <v>45112.329236111109</v>
          </cell>
          <cell r="N64">
            <v>6</v>
          </cell>
        </row>
        <row r="65">
          <cell r="M65">
            <v>45112.329502314817</v>
          </cell>
          <cell r="N65">
            <v>6</v>
          </cell>
        </row>
        <row r="66">
          <cell r="M66">
            <v>45112.329965277779</v>
          </cell>
          <cell r="N66">
            <v>6</v>
          </cell>
        </row>
        <row r="67">
          <cell r="M67">
            <v>45112.331354166665</v>
          </cell>
          <cell r="N67">
            <v>6</v>
          </cell>
        </row>
        <row r="68">
          <cell r="M68">
            <v>45112.332430555558</v>
          </cell>
          <cell r="N68">
            <v>6</v>
          </cell>
        </row>
        <row r="69">
          <cell r="M69">
            <v>45112.332939814813</v>
          </cell>
          <cell r="N69">
            <v>6</v>
          </cell>
        </row>
        <row r="70">
          <cell r="M70">
            <v>45112.333402777775</v>
          </cell>
          <cell r="N70">
            <v>6</v>
          </cell>
        </row>
        <row r="71">
          <cell r="M71">
            <v>45112.334652777776</v>
          </cell>
          <cell r="N71">
            <v>6</v>
          </cell>
        </row>
        <row r="72">
          <cell r="M72">
            <v>45112.334976851853</v>
          </cell>
          <cell r="N72">
            <v>6</v>
          </cell>
        </row>
        <row r="73">
          <cell r="M73">
            <v>45112.336539351854</v>
          </cell>
          <cell r="N73">
            <v>6</v>
          </cell>
        </row>
        <row r="74">
          <cell r="M74">
            <v>45112.337002314816</v>
          </cell>
          <cell r="N74">
            <v>6</v>
          </cell>
        </row>
        <row r="75">
          <cell r="M75">
            <v>45112.395937499998</v>
          </cell>
          <cell r="N75">
            <v>6</v>
          </cell>
        </row>
        <row r="76">
          <cell r="M76">
            <v>45112.398773148147</v>
          </cell>
          <cell r="N76">
            <v>6</v>
          </cell>
        </row>
        <row r="77">
          <cell r="M77">
            <v>45112.400277777779</v>
          </cell>
          <cell r="N77">
            <v>6</v>
          </cell>
        </row>
        <row r="78">
          <cell r="M78">
            <v>45112.400289351855</v>
          </cell>
          <cell r="N78">
            <v>6</v>
          </cell>
        </row>
        <row r="79">
          <cell r="M79">
            <v>45112.401006944441</v>
          </cell>
          <cell r="N79">
            <v>6</v>
          </cell>
        </row>
        <row r="80">
          <cell r="M80">
            <v>45112.403634259259</v>
          </cell>
          <cell r="N80">
            <v>6</v>
          </cell>
        </row>
        <row r="81">
          <cell r="M81">
            <v>45113.688738425924</v>
          </cell>
          <cell r="N81">
            <v>6</v>
          </cell>
        </row>
        <row r="82">
          <cell r="M82">
            <v>45113.690300925926</v>
          </cell>
          <cell r="N82">
            <v>6</v>
          </cell>
        </row>
        <row r="83">
          <cell r="M83">
            <v>45113.725381944445</v>
          </cell>
          <cell r="N83">
            <v>6</v>
          </cell>
        </row>
        <row r="84">
          <cell r="M84">
            <v>45113.726319444446</v>
          </cell>
          <cell r="N84">
            <v>6</v>
          </cell>
        </row>
        <row r="85">
          <cell r="M85">
            <v>45113.726342592592</v>
          </cell>
          <cell r="N85">
            <v>6</v>
          </cell>
        </row>
        <row r="86">
          <cell r="H86" t="str">
            <v>155000025916</v>
          </cell>
          <cell r="M86">
            <v>45112.295335648145</v>
          </cell>
          <cell r="N86">
            <v>7</v>
          </cell>
        </row>
        <row r="87">
          <cell r="M87">
            <v>45114.0078125</v>
          </cell>
          <cell r="N87">
            <v>7</v>
          </cell>
        </row>
        <row r="88">
          <cell r="M88">
            <v>45114.007835648146</v>
          </cell>
          <cell r="N88">
            <v>7</v>
          </cell>
        </row>
        <row r="89">
          <cell r="H89" t="str">
            <v>155000025276</v>
          </cell>
          <cell r="M89">
            <v>45112.30300925926</v>
          </cell>
          <cell r="N89">
            <v>8</v>
          </cell>
        </row>
        <row r="90">
          <cell r="M90">
            <v>45112.303067129629</v>
          </cell>
          <cell r="N90">
            <v>8</v>
          </cell>
        </row>
        <row r="91">
          <cell r="M91">
            <v>45112.303263888891</v>
          </cell>
          <cell r="N91">
            <v>8</v>
          </cell>
        </row>
        <row r="92">
          <cell r="M92">
            <v>45112.303726851853</v>
          </cell>
          <cell r="N92">
            <v>8</v>
          </cell>
        </row>
        <row r="93">
          <cell r="M93">
            <v>45112.303877314815</v>
          </cell>
          <cell r="N93">
            <v>8</v>
          </cell>
        </row>
        <row r="94">
          <cell r="M94">
            <v>45112.304328703707</v>
          </cell>
          <cell r="N94">
            <v>8</v>
          </cell>
        </row>
        <row r="95">
          <cell r="M95">
            <v>45112.304490740738</v>
          </cell>
          <cell r="N95">
            <v>8</v>
          </cell>
        </row>
        <row r="96">
          <cell r="M96">
            <v>45112.304606481484</v>
          </cell>
          <cell r="N96">
            <v>8</v>
          </cell>
        </row>
        <row r="97">
          <cell r="M97">
            <v>45112.304664351854</v>
          </cell>
          <cell r="N97">
            <v>8</v>
          </cell>
        </row>
        <row r="98">
          <cell r="M98">
            <v>45112.305324074077</v>
          </cell>
          <cell r="N98">
            <v>8</v>
          </cell>
        </row>
        <row r="99">
          <cell r="M99">
            <v>45112.30541666667</v>
          </cell>
          <cell r="N99">
            <v>8</v>
          </cell>
        </row>
        <row r="100">
          <cell r="M100">
            <v>45112.305567129632</v>
          </cell>
          <cell r="N100">
            <v>8</v>
          </cell>
        </row>
        <row r="101">
          <cell r="M101">
            <v>45112.308020833334</v>
          </cell>
          <cell r="N101">
            <v>8</v>
          </cell>
        </row>
        <row r="102">
          <cell r="M102">
            <v>45112.308240740742</v>
          </cell>
          <cell r="N102">
            <v>8</v>
          </cell>
        </row>
        <row r="103">
          <cell r="M103">
            <v>45112.315127314818</v>
          </cell>
          <cell r="N103">
            <v>8</v>
          </cell>
        </row>
        <row r="104">
          <cell r="M104">
            <v>45112.315381944441</v>
          </cell>
          <cell r="N104">
            <v>8</v>
          </cell>
        </row>
        <row r="105">
          <cell r="M105">
            <v>45112.315578703703</v>
          </cell>
          <cell r="N105">
            <v>8</v>
          </cell>
        </row>
        <row r="106">
          <cell r="M106">
            <v>45112.315659722219</v>
          </cell>
          <cell r="N106">
            <v>8</v>
          </cell>
        </row>
        <row r="107">
          <cell r="M107">
            <v>45112.621087962965</v>
          </cell>
          <cell r="N107">
            <v>8</v>
          </cell>
        </row>
        <row r="108">
          <cell r="M108">
            <v>45112.621435185189</v>
          </cell>
          <cell r="N108">
            <v>8</v>
          </cell>
        </row>
        <row r="109">
          <cell r="M109">
            <v>45112.62300925926</v>
          </cell>
          <cell r="N109">
            <v>8</v>
          </cell>
        </row>
        <row r="110">
          <cell r="M110">
            <v>45112.623611111114</v>
          </cell>
          <cell r="N110">
            <v>8</v>
          </cell>
        </row>
        <row r="111">
          <cell r="M111">
            <v>45112.623831018522</v>
          </cell>
          <cell r="N111">
            <v>8</v>
          </cell>
        </row>
        <row r="112">
          <cell r="M112">
            <v>45112.624386574076</v>
          </cell>
          <cell r="N112">
            <v>8</v>
          </cell>
        </row>
        <row r="113">
          <cell r="M113">
            <v>45112.624490740738</v>
          </cell>
          <cell r="N113">
            <v>8</v>
          </cell>
        </row>
        <row r="114">
          <cell r="M114">
            <v>45112.631782407407</v>
          </cell>
          <cell r="N114">
            <v>8</v>
          </cell>
        </row>
        <row r="115">
          <cell r="M115">
            <v>45112.632754629631</v>
          </cell>
          <cell r="N115">
            <v>8</v>
          </cell>
        </row>
        <row r="116">
          <cell r="M116">
            <v>45112.632824074077</v>
          </cell>
          <cell r="N116">
            <v>8</v>
          </cell>
        </row>
        <row r="117">
          <cell r="M117">
            <v>45112.632916666669</v>
          </cell>
          <cell r="N117">
            <v>8</v>
          </cell>
        </row>
        <row r="118">
          <cell r="M118">
            <v>45112.633576388886</v>
          </cell>
          <cell r="N118">
            <v>8</v>
          </cell>
        </row>
        <row r="119">
          <cell r="M119">
            <v>45112.633634259262</v>
          </cell>
          <cell r="N119">
            <v>8</v>
          </cell>
        </row>
        <row r="120">
          <cell r="M120">
            <v>45112.633726851855</v>
          </cell>
          <cell r="N120">
            <v>8</v>
          </cell>
        </row>
        <row r="121">
          <cell r="M121">
            <v>45112.633993055555</v>
          </cell>
          <cell r="N121">
            <v>8</v>
          </cell>
        </row>
        <row r="122">
          <cell r="M122">
            <v>45112.634513888886</v>
          </cell>
          <cell r="N122">
            <v>8</v>
          </cell>
        </row>
        <row r="123">
          <cell r="M123">
            <v>45112.634965277779</v>
          </cell>
          <cell r="N123">
            <v>8</v>
          </cell>
        </row>
        <row r="124">
          <cell r="M124">
            <v>45112.635312500002</v>
          </cell>
          <cell r="N124">
            <v>8</v>
          </cell>
        </row>
        <row r="125">
          <cell r="M125">
            <v>45112.635682870372</v>
          </cell>
          <cell r="N125">
            <v>8</v>
          </cell>
        </row>
        <row r="126">
          <cell r="M126">
            <v>45113.892812500002</v>
          </cell>
          <cell r="N126">
            <v>8</v>
          </cell>
        </row>
        <row r="127">
          <cell r="M127">
            <v>45113.89329861111</v>
          </cell>
          <cell r="N127">
            <v>8</v>
          </cell>
        </row>
        <row r="128">
          <cell r="M128">
            <v>45113.89340277778</v>
          </cell>
          <cell r="N128">
            <v>8</v>
          </cell>
        </row>
        <row r="129">
          <cell r="M129">
            <v>45113.894155092596</v>
          </cell>
          <cell r="N129">
            <v>8</v>
          </cell>
        </row>
        <row r="130">
          <cell r="M130">
            <v>45113.894490740742</v>
          </cell>
          <cell r="N130">
            <v>8</v>
          </cell>
        </row>
        <row r="131">
          <cell r="H131" t="str">
            <v>155000025094</v>
          </cell>
          <cell r="M131">
            <v>45112.406307870369</v>
          </cell>
          <cell r="N131">
            <v>9</v>
          </cell>
        </row>
        <row r="132">
          <cell r="M132">
            <v>45112.406331018516</v>
          </cell>
          <cell r="N132">
            <v>9</v>
          </cell>
        </row>
        <row r="133">
          <cell r="M133">
            <v>45112.406967592593</v>
          </cell>
          <cell r="N133">
            <v>9</v>
          </cell>
        </row>
        <row r="134">
          <cell r="M134">
            <v>45112.40724537037</v>
          </cell>
          <cell r="N134">
            <v>9</v>
          </cell>
        </row>
        <row r="135">
          <cell r="M135">
            <v>45112.413425925923</v>
          </cell>
          <cell r="N135">
            <v>9</v>
          </cell>
        </row>
        <row r="136">
          <cell r="M136">
            <v>45112.599062499998</v>
          </cell>
          <cell r="N136">
            <v>9</v>
          </cell>
        </row>
        <row r="137">
          <cell r="M137">
            <v>45112.600243055553</v>
          </cell>
          <cell r="N137">
            <v>9</v>
          </cell>
        </row>
        <row r="138">
          <cell r="M138">
            <v>45112.601863425924</v>
          </cell>
          <cell r="N138">
            <v>9</v>
          </cell>
        </row>
        <row r="139">
          <cell r="M139">
            <v>45112.603009259263</v>
          </cell>
          <cell r="N139">
            <v>9</v>
          </cell>
        </row>
        <row r="140">
          <cell r="M140">
            <v>45112.603449074071</v>
          </cell>
          <cell r="N140">
            <v>9</v>
          </cell>
        </row>
        <row r="141">
          <cell r="M141">
            <v>45114.008796296293</v>
          </cell>
          <cell r="N141">
            <v>9</v>
          </cell>
        </row>
        <row r="142">
          <cell r="M142">
            <v>45114.047384259262</v>
          </cell>
          <cell r="N142">
            <v>9</v>
          </cell>
        </row>
        <row r="143">
          <cell r="M143">
            <v>45114.056064814817</v>
          </cell>
          <cell r="N143">
            <v>9</v>
          </cell>
        </row>
        <row r="144">
          <cell r="M144">
            <v>45114.061168981483</v>
          </cell>
          <cell r="N144">
            <v>9</v>
          </cell>
        </row>
        <row r="145">
          <cell r="M145">
            <v>45114.064618055556</v>
          </cell>
          <cell r="N145">
            <v>9</v>
          </cell>
        </row>
        <row r="146">
          <cell r="M146">
            <v>45114.105231481481</v>
          </cell>
          <cell r="N146">
            <v>9</v>
          </cell>
        </row>
        <row r="147">
          <cell r="M147">
            <v>45114.132245370369</v>
          </cell>
          <cell r="N147">
            <v>9</v>
          </cell>
        </row>
        <row r="148">
          <cell r="M148">
            <v>45114.412766203706</v>
          </cell>
          <cell r="N148">
            <v>9</v>
          </cell>
        </row>
        <row r="149">
          <cell r="M149">
            <v>45114.448020833333</v>
          </cell>
          <cell r="N149">
            <v>9</v>
          </cell>
        </row>
        <row r="150">
          <cell r="H150" t="str">
            <v>155000025681</v>
          </cell>
          <cell r="M150">
            <v>45112.481898148151</v>
          </cell>
          <cell r="N150">
            <v>10</v>
          </cell>
        </row>
        <row r="151">
          <cell r="M151">
            <v>45112.49728009259</v>
          </cell>
          <cell r="N151">
            <v>10</v>
          </cell>
        </row>
        <row r="152">
          <cell r="M152">
            <v>45112.497569444444</v>
          </cell>
          <cell r="N152">
            <v>10</v>
          </cell>
        </row>
        <row r="153">
          <cell r="M153">
            <v>45112.497708333336</v>
          </cell>
          <cell r="N153">
            <v>10</v>
          </cell>
        </row>
        <row r="154">
          <cell r="M154">
            <v>45112.49895833333</v>
          </cell>
          <cell r="N154">
            <v>10</v>
          </cell>
        </row>
        <row r="155">
          <cell r="M155">
            <v>45112.503240740742</v>
          </cell>
          <cell r="N155">
            <v>10</v>
          </cell>
        </row>
        <row r="156">
          <cell r="M156">
            <v>45112.512696759259</v>
          </cell>
          <cell r="N156">
            <v>10</v>
          </cell>
        </row>
        <row r="157">
          <cell r="M157">
            <v>45112.54347222222</v>
          </cell>
          <cell r="N157">
            <v>10</v>
          </cell>
        </row>
        <row r="158">
          <cell r="M158">
            <v>45112.543495370373</v>
          </cell>
          <cell r="N158">
            <v>10</v>
          </cell>
        </row>
        <row r="159">
          <cell r="M159">
            <v>45112.584583333337</v>
          </cell>
          <cell r="N159">
            <v>10</v>
          </cell>
        </row>
        <row r="160">
          <cell r="M160">
            <v>45112.601030092592</v>
          </cell>
          <cell r="N160">
            <v>10</v>
          </cell>
        </row>
        <row r="161">
          <cell r="M161">
            <v>45112.606539351851</v>
          </cell>
          <cell r="N161">
            <v>10</v>
          </cell>
        </row>
        <row r="162">
          <cell r="M162">
            <v>45112.615416666667</v>
          </cell>
          <cell r="N162">
            <v>10</v>
          </cell>
        </row>
        <row r="163">
          <cell r="M163">
            <v>45112.615694444445</v>
          </cell>
          <cell r="N163">
            <v>10</v>
          </cell>
        </row>
        <row r="164">
          <cell r="M164">
            <v>45112.637071759258</v>
          </cell>
          <cell r="N164">
            <v>10</v>
          </cell>
        </row>
        <row r="165">
          <cell r="M165">
            <v>45112.637731481482</v>
          </cell>
          <cell r="N165">
            <v>10</v>
          </cell>
        </row>
        <row r="166">
          <cell r="M166">
            <v>45112.637777777774</v>
          </cell>
          <cell r="N166">
            <v>10</v>
          </cell>
        </row>
        <row r="167">
          <cell r="M167">
            <v>45112.638182870367</v>
          </cell>
          <cell r="N167">
            <v>10</v>
          </cell>
        </row>
        <row r="168">
          <cell r="M168">
            <v>45112.640497685185</v>
          </cell>
          <cell r="N168">
            <v>10</v>
          </cell>
        </row>
        <row r="169">
          <cell r="M169">
            <v>45112.640613425923</v>
          </cell>
          <cell r="N169">
            <v>10</v>
          </cell>
        </row>
        <row r="170">
          <cell r="M170">
            <v>45112.663032407407</v>
          </cell>
          <cell r="N170">
            <v>10</v>
          </cell>
        </row>
        <row r="171">
          <cell r="M171">
            <v>45112.663101851853</v>
          </cell>
          <cell r="N171">
            <v>10</v>
          </cell>
        </row>
        <row r="172">
          <cell r="M172">
            <v>45112.663263888891</v>
          </cell>
          <cell r="N172">
            <v>10</v>
          </cell>
        </row>
        <row r="173">
          <cell r="M173">
            <v>45112.68608796296</v>
          </cell>
          <cell r="N173">
            <v>10</v>
          </cell>
        </row>
        <row r="174">
          <cell r="M174">
            <v>45112.68644675926</v>
          </cell>
          <cell r="N174">
            <v>10</v>
          </cell>
        </row>
        <row r="175">
          <cell r="M175">
            <v>45112.686631944445</v>
          </cell>
          <cell r="N175">
            <v>10</v>
          </cell>
        </row>
        <row r="176">
          <cell r="M176">
            <v>45112.748379629629</v>
          </cell>
          <cell r="N176">
            <v>10</v>
          </cell>
        </row>
        <row r="177">
          <cell r="M177">
            <v>45112.748518518521</v>
          </cell>
          <cell r="N177">
            <v>10</v>
          </cell>
        </row>
        <row r="178">
          <cell r="M178">
            <v>45112.749594907407</v>
          </cell>
          <cell r="N178">
            <v>10</v>
          </cell>
        </row>
        <row r="179">
          <cell r="M179">
            <v>45112.749976851854</v>
          </cell>
          <cell r="N179">
            <v>10</v>
          </cell>
        </row>
        <row r="180">
          <cell r="H180" t="str">
            <v>155000025759</v>
          </cell>
          <cell r="M180">
            <v>45112.690335648149</v>
          </cell>
          <cell r="N180">
            <v>11</v>
          </cell>
        </row>
        <row r="181">
          <cell r="M181">
            <v>45112.692511574074</v>
          </cell>
          <cell r="N181">
            <v>11</v>
          </cell>
        </row>
        <row r="182">
          <cell r="M182">
            <v>45112.932523148149</v>
          </cell>
          <cell r="N182">
            <v>11</v>
          </cell>
        </row>
        <row r="183">
          <cell r="M183">
            <v>45112.932546296295</v>
          </cell>
          <cell r="N183">
            <v>11</v>
          </cell>
        </row>
        <row r="184">
          <cell r="M184">
            <v>45113.00953703704</v>
          </cell>
          <cell r="N184">
            <v>11</v>
          </cell>
        </row>
        <row r="185">
          <cell r="M185">
            <v>45113.019502314812</v>
          </cell>
          <cell r="N185">
            <v>11</v>
          </cell>
        </row>
        <row r="186">
          <cell r="M186">
            <v>45113.022060185183</v>
          </cell>
          <cell r="N186">
            <v>11</v>
          </cell>
        </row>
        <row r="187">
          <cell r="M187">
            <v>45113.023182870369</v>
          </cell>
          <cell r="N187">
            <v>11</v>
          </cell>
        </row>
        <row r="188">
          <cell r="M188">
            <v>45113.023206018515</v>
          </cell>
          <cell r="N188">
            <v>11</v>
          </cell>
        </row>
        <row r="189">
          <cell r="M189">
            <v>45113.024537037039</v>
          </cell>
          <cell r="N189">
            <v>11</v>
          </cell>
        </row>
        <row r="190">
          <cell r="M190">
            <v>45113.037106481483</v>
          </cell>
          <cell r="N190">
            <v>11</v>
          </cell>
        </row>
        <row r="191">
          <cell r="M191">
            <v>45113.037141203706</v>
          </cell>
          <cell r="N191">
            <v>11</v>
          </cell>
        </row>
        <row r="192">
          <cell r="M192">
            <v>45113.039768518516</v>
          </cell>
          <cell r="N192">
            <v>11</v>
          </cell>
        </row>
        <row r="193">
          <cell r="M193">
            <v>45113.122650462959</v>
          </cell>
          <cell r="N193">
            <v>11</v>
          </cell>
        </row>
        <row r="194">
          <cell r="M194">
            <v>45113.124930555554</v>
          </cell>
          <cell r="N194">
            <v>11</v>
          </cell>
        </row>
        <row r="195">
          <cell r="M195">
            <v>45113.190023148149</v>
          </cell>
          <cell r="N195">
            <v>11</v>
          </cell>
        </row>
        <row r="196">
          <cell r="M196">
            <v>45113.19122685185</v>
          </cell>
          <cell r="N196">
            <v>11</v>
          </cell>
        </row>
        <row r="197">
          <cell r="M197">
            <v>45113.191550925927</v>
          </cell>
          <cell r="N197">
            <v>11</v>
          </cell>
        </row>
        <row r="198">
          <cell r="M198">
            <v>45113.19222222222</v>
          </cell>
          <cell r="N198">
            <v>11</v>
          </cell>
        </row>
        <row r="199">
          <cell r="M199">
            <v>45113.192835648151</v>
          </cell>
          <cell r="N199">
            <v>11</v>
          </cell>
        </row>
        <row r="200">
          <cell r="M200">
            <v>45113.193240740744</v>
          </cell>
          <cell r="N200">
            <v>11</v>
          </cell>
        </row>
        <row r="201">
          <cell r="M201">
            <v>45113.194548611114</v>
          </cell>
          <cell r="N201">
            <v>11</v>
          </cell>
        </row>
        <row r="202">
          <cell r="M202">
            <v>45113.194733796299</v>
          </cell>
          <cell r="N202">
            <v>11</v>
          </cell>
        </row>
        <row r="203">
          <cell r="M203">
            <v>45113.194907407407</v>
          </cell>
          <cell r="N203">
            <v>11</v>
          </cell>
        </row>
        <row r="204">
          <cell r="M204">
            <v>45113.197604166664</v>
          </cell>
          <cell r="N204">
            <v>11</v>
          </cell>
        </row>
        <row r="205">
          <cell r="M205">
            <v>45113.197905092595</v>
          </cell>
          <cell r="N205">
            <v>11</v>
          </cell>
        </row>
        <row r="206">
          <cell r="M206">
            <v>45113.19835648148</v>
          </cell>
          <cell r="N206">
            <v>11</v>
          </cell>
        </row>
        <row r="207">
          <cell r="M207">
            <v>45113.198842592596</v>
          </cell>
          <cell r="N207">
            <v>11</v>
          </cell>
        </row>
        <row r="208">
          <cell r="M208">
            <v>45113.198865740742</v>
          </cell>
          <cell r="N208">
            <v>11</v>
          </cell>
        </row>
        <row r="209">
          <cell r="M209">
            <v>45113.199004629627</v>
          </cell>
          <cell r="N209">
            <v>11</v>
          </cell>
        </row>
        <row r="210">
          <cell r="M210">
            <v>45113.199178240742</v>
          </cell>
          <cell r="N210">
            <v>11</v>
          </cell>
        </row>
        <row r="211">
          <cell r="M211">
            <v>45113.199201388888</v>
          </cell>
          <cell r="N211">
            <v>11</v>
          </cell>
        </row>
        <row r="212">
          <cell r="M212">
            <v>45113.199490740742</v>
          </cell>
          <cell r="N212">
            <v>11</v>
          </cell>
        </row>
        <row r="213">
          <cell r="M213">
            <v>45113.200671296298</v>
          </cell>
          <cell r="N213">
            <v>11</v>
          </cell>
        </row>
        <row r="214">
          <cell r="M214">
            <v>45113.200844907406</v>
          </cell>
          <cell r="N214">
            <v>11</v>
          </cell>
        </row>
        <row r="215">
          <cell r="M215">
            <v>45113.285856481481</v>
          </cell>
          <cell r="N215">
            <v>11</v>
          </cell>
        </row>
        <row r="216">
          <cell r="M216">
            <v>45113.409768518519</v>
          </cell>
          <cell r="N216">
            <v>11</v>
          </cell>
        </row>
        <row r="217">
          <cell r="H217" t="str">
            <v>155000025519</v>
          </cell>
          <cell r="M217">
            <v>45112.702800925923</v>
          </cell>
          <cell r="N217">
            <v>12</v>
          </cell>
        </row>
        <row r="218">
          <cell r="M218">
            <v>45112.703043981484</v>
          </cell>
          <cell r="N218">
            <v>12</v>
          </cell>
        </row>
        <row r="219">
          <cell r="M219">
            <v>45112.703611111108</v>
          </cell>
          <cell r="N219">
            <v>12</v>
          </cell>
        </row>
        <row r="220">
          <cell r="M220">
            <v>45112.703900462962</v>
          </cell>
          <cell r="N220">
            <v>12</v>
          </cell>
        </row>
        <row r="221">
          <cell r="M221">
            <v>45112.703993055555</v>
          </cell>
          <cell r="N221">
            <v>12</v>
          </cell>
        </row>
        <row r="222">
          <cell r="M222">
            <v>45112.705787037034</v>
          </cell>
          <cell r="N222">
            <v>12</v>
          </cell>
        </row>
        <row r="223">
          <cell r="M223">
            <v>45112.712800925925</v>
          </cell>
          <cell r="N223">
            <v>12</v>
          </cell>
        </row>
        <row r="224">
          <cell r="M224">
            <v>45112.715381944443</v>
          </cell>
          <cell r="N224">
            <v>12</v>
          </cell>
        </row>
        <row r="225">
          <cell r="M225">
            <v>45112.719548611109</v>
          </cell>
          <cell r="N225">
            <v>12</v>
          </cell>
        </row>
        <row r="226">
          <cell r="M226">
            <v>45112.755567129629</v>
          </cell>
          <cell r="N226">
            <v>12</v>
          </cell>
        </row>
        <row r="227">
          <cell r="M227">
            <v>45112.785787037035</v>
          </cell>
          <cell r="N227">
            <v>12</v>
          </cell>
        </row>
        <row r="228">
          <cell r="M228">
            <v>45112.786030092589</v>
          </cell>
          <cell r="N228">
            <v>12</v>
          </cell>
        </row>
        <row r="229">
          <cell r="M229">
            <v>45112.786180555559</v>
          </cell>
          <cell r="N229">
            <v>12</v>
          </cell>
        </row>
        <row r="230">
          <cell r="M230">
            <v>45113.289641203701</v>
          </cell>
          <cell r="N230">
            <v>12</v>
          </cell>
        </row>
        <row r="231">
          <cell r="M231">
            <v>45113.29005787037</v>
          </cell>
          <cell r="N231">
            <v>12</v>
          </cell>
        </row>
        <row r="232">
          <cell r="M232">
            <v>45113.290081018517</v>
          </cell>
          <cell r="N232">
            <v>12</v>
          </cell>
        </row>
        <row r="233">
          <cell r="M233">
            <v>45113.293622685182</v>
          </cell>
          <cell r="N233">
            <v>12</v>
          </cell>
        </row>
        <row r="234">
          <cell r="M234">
            <v>45113.397291666668</v>
          </cell>
          <cell r="N234">
            <v>12</v>
          </cell>
        </row>
        <row r="235">
          <cell r="M235">
            <v>45113.397349537037</v>
          </cell>
          <cell r="N235">
            <v>12</v>
          </cell>
        </row>
        <row r="236">
          <cell r="M236">
            <v>45113.399062500001</v>
          </cell>
          <cell r="N236">
            <v>12</v>
          </cell>
        </row>
        <row r="237">
          <cell r="M237">
            <v>45113.400787037041</v>
          </cell>
          <cell r="N237">
            <v>12</v>
          </cell>
        </row>
        <row r="238">
          <cell r="M238">
            <v>45113.442708333336</v>
          </cell>
          <cell r="N238">
            <v>12</v>
          </cell>
        </row>
        <row r="239">
          <cell r="M239">
            <v>45113.443692129629</v>
          </cell>
          <cell r="N239">
            <v>12</v>
          </cell>
        </row>
        <row r="240">
          <cell r="M240">
            <v>45113.446331018517</v>
          </cell>
          <cell r="N240">
            <v>12</v>
          </cell>
        </row>
        <row r="241">
          <cell r="M241">
            <v>45113.570335648146</v>
          </cell>
          <cell r="N241">
            <v>12</v>
          </cell>
        </row>
        <row r="242">
          <cell r="M242">
            <v>45113.572974537034</v>
          </cell>
          <cell r="N242">
            <v>12</v>
          </cell>
        </row>
        <row r="243">
          <cell r="M243">
            <v>45113.573009259257</v>
          </cell>
          <cell r="N243">
            <v>12</v>
          </cell>
        </row>
        <row r="244">
          <cell r="H244" t="str">
            <v>155000025845</v>
          </cell>
          <cell r="M244">
            <v>45112.77103009259</v>
          </cell>
          <cell r="N244">
            <v>13</v>
          </cell>
        </row>
        <row r="245">
          <cell r="M245">
            <v>45112.771331018521</v>
          </cell>
          <cell r="N245">
            <v>13</v>
          </cell>
        </row>
        <row r="246">
          <cell r="M246">
            <v>45112.772627314815</v>
          </cell>
          <cell r="N246">
            <v>13</v>
          </cell>
        </row>
        <row r="247">
          <cell r="M247">
            <v>45112.775995370372</v>
          </cell>
          <cell r="N247">
            <v>13</v>
          </cell>
        </row>
        <row r="248">
          <cell r="M248">
            <v>45112.986111111109</v>
          </cell>
          <cell r="N248">
            <v>13</v>
          </cell>
        </row>
        <row r="249">
          <cell r="M249">
            <v>45113.023159722223</v>
          </cell>
          <cell r="N249">
            <v>13</v>
          </cell>
        </row>
        <row r="250">
          <cell r="H250" t="str">
            <v>155000025031</v>
          </cell>
          <cell r="M250">
            <v>45112.788773148146</v>
          </cell>
          <cell r="N250">
            <v>14</v>
          </cell>
        </row>
        <row r="251">
          <cell r="M251">
            <v>45112.788807870369</v>
          </cell>
          <cell r="N251">
            <v>14</v>
          </cell>
        </row>
        <row r="252">
          <cell r="M252">
            <v>45112.788981481484</v>
          </cell>
          <cell r="N252">
            <v>14</v>
          </cell>
        </row>
        <row r="253">
          <cell r="M253">
            <v>45112.789525462962</v>
          </cell>
          <cell r="N253">
            <v>14</v>
          </cell>
        </row>
        <row r="254">
          <cell r="M254">
            <v>45112.789571759262</v>
          </cell>
          <cell r="N254">
            <v>14</v>
          </cell>
        </row>
        <row r="255">
          <cell r="M255">
            <v>45112.790335648147</v>
          </cell>
          <cell r="N255">
            <v>14</v>
          </cell>
        </row>
        <row r="256">
          <cell r="M256">
            <v>45112.790972222225</v>
          </cell>
          <cell r="N256">
            <v>14</v>
          </cell>
        </row>
        <row r="257">
          <cell r="M257">
            <v>45112.791122685187</v>
          </cell>
          <cell r="N257">
            <v>14</v>
          </cell>
        </row>
        <row r="258">
          <cell r="M258">
            <v>45114.669537037036</v>
          </cell>
          <cell r="N258">
            <v>14</v>
          </cell>
        </row>
        <row r="259">
          <cell r="H259" t="str">
            <v>155000025861</v>
          </cell>
          <cell r="M259">
            <v>45112.791516203702</v>
          </cell>
          <cell r="N259">
            <v>15</v>
          </cell>
        </row>
        <row r="260">
          <cell r="M260">
            <v>45112.791574074072</v>
          </cell>
          <cell r="N260">
            <v>15</v>
          </cell>
        </row>
        <row r="261">
          <cell r="M261">
            <v>45113.079247685186</v>
          </cell>
          <cell r="N261">
            <v>15</v>
          </cell>
        </row>
        <row r="262">
          <cell r="M262">
            <v>45113.079293981478</v>
          </cell>
          <cell r="N262">
            <v>15</v>
          </cell>
        </row>
        <row r="263">
          <cell r="M263">
            <v>45113.079861111109</v>
          </cell>
          <cell r="N263">
            <v>15</v>
          </cell>
        </row>
        <row r="264">
          <cell r="M264">
            <v>45113.084583333337</v>
          </cell>
          <cell r="N264">
            <v>15</v>
          </cell>
        </row>
        <row r="265">
          <cell r="M265">
            <v>45113.084618055553</v>
          </cell>
          <cell r="N265">
            <v>15</v>
          </cell>
        </row>
        <row r="266">
          <cell r="M266">
            <v>45113.204386574071</v>
          </cell>
          <cell r="N266">
            <v>15</v>
          </cell>
        </row>
        <row r="267">
          <cell r="M267">
            <v>45113.205613425926</v>
          </cell>
          <cell r="N267">
            <v>15</v>
          </cell>
        </row>
        <row r="268">
          <cell r="H268" t="str">
            <v>155000025388</v>
          </cell>
          <cell r="M268">
            <v>45113.201701388891</v>
          </cell>
          <cell r="N268">
            <v>16</v>
          </cell>
        </row>
        <row r="269">
          <cell r="M269">
            <v>45113.20171296296</v>
          </cell>
          <cell r="N269">
            <v>16</v>
          </cell>
        </row>
        <row r="270">
          <cell r="M270">
            <v>45113.201898148145</v>
          </cell>
          <cell r="N270">
            <v>16</v>
          </cell>
        </row>
        <row r="271">
          <cell r="M271">
            <v>45113.202210648145</v>
          </cell>
          <cell r="N271">
            <v>16</v>
          </cell>
        </row>
        <row r="272">
          <cell r="M272">
            <v>45113.202222222222</v>
          </cell>
          <cell r="N272">
            <v>16</v>
          </cell>
        </row>
        <row r="273">
          <cell r="M273">
            <v>45113.202476851853</v>
          </cell>
          <cell r="N273">
            <v>16</v>
          </cell>
        </row>
        <row r="274">
          <cell r="M274">
            <v>45113.202719907407</v>
          </cell>
          <cell r="N274">
            <v>16</v>
          </cell>
        </row>
        <row r="275">
          <cell r="M275">
            <v>45113.202743055554</v>
          </cell>
          <cell r="N275">
            <v>16</v>
          </cell>
        </row>
        <row r="276">
          <cell r="M276">
            <v>45113.203287037039</v>
          </cell>
          <cell r="N276">
            <v>16</v>
          </cell>
        </row>
        <row r="277">
          <cell r="M277">
            <v>45113.203668981485</v>
          </cell>
          <cell r="N277">
            <v>16</v>
          </cell>
        </row>
        <row r="278">
          <cell r="M278">
            <v>45113.204108796293</v>
          </cell>
          <cell r="N278">
            <v>16</v>
          </cell>
        </row>
        <row r="279">
          <cell r="M279">
            <v>45113.209189814814</v>
          </cell>
          <cell r="N279">
            <v>16</v>
          </cell>
        </row>
        <row r="280">
          <cell r="M280">
            <v>45113.209201388891</v>
          </cell>
          <cell r="N280">
            <v>16</v>
          </cell>
        </row>
        <row r="281">
          <cell r="H281" t="str">
            <v>155000025283</v>
          </cell>
          <cell r="M281">
            <v>45113.431307870371</v>
          </cell>
          <cell r="N281">
            <v>17</v>
          </cell>
        </row>
        <row r="282">
          <cell r="M282">
            <v>45113.431331018517</v>
          </cell>
          <cell r="N282">
            <v>17</v>
          </cell>
        </row>
        <row r="283">
          <cell r="M283">
            <v>45113.431469907409</v>
          </cell>
          <cell r="N283">
            <v>17</v>
          </cell>
        </row>
        <row r="284">
          <cell r="M284">
            <v>45113.431493055556</v>
          </cell>
          <cell r="N284">
            <v>17</v>
          </cell>
        </row>
        <row r="285">
          <cell r="M285">
            <v>45114.606770833336</v>
          </cell>
          <cell r="N285">
            <v>17</v>
          </cell>
        </row>
        <row r="286">
          <cell r="H286" t="str">
            <v>155000025367</v>
          </cell>
          <cell r="M286">
            <v>45113.43246527778</v>
          </cell>
          <cell r="N286">
            <v>18</v>
          </cell>
        </row>
        <row r="287">
          <cell r="M287">
            <v>45113.432476851849</v>
          </cell>
          <cell r="N287">
            <v>18</v>
          </cell>
        </row>
        <row r="288">
          <cell r="M288">
            <v>45113.432511574072</v>
          </cell>
          <cell r="N288">
            <v>18</v>
          </cell>
        </row>
        <row r="289">
          <cell r="M289">
            <v>45113.432534722226</v>
          </cell>
          <cell r="N289">
            <v>18</v>
          </cell>
        </row>
        <row r="290">
          <cell r="M290">
            <v>45113.432627314818</v>
          </cell>
          <cell r="N290">
            <v>18</v>
          </cell>
        </row>
        <row r="291">
          <cell r="M291">
            <v>45113.432673611111</v>
          </cell>
          <cell r="N291">
            <v>18</v>
          </cell>
        </row>
        <row r="292">
          <cell r="M292">
            <v>45113.432754629626</v>
          </cell>
          <cell r="N292">
            <v>18</v>
          </cell>
        </row>
        <row r="293">
          <cell r="M293">
            <v>45113.772002314814</v>
          </cell>
          <cell r="N293">
            <v>18</v>
          </cell>
        </row>
        <row r="294">
          <cell r="M294">
            <v>45113.772187499999</v>
          </cell>
          <cell r="N294">
            <v>18</v>
          </cell>
        </row>
        <row r="295">
          <cell r="H295" t="str">
            <v>155000025232</v>
          </cell>
          <cell r="M295">
            <v>45113.450312499997</v>
          </cell>
          <cell r="N295">
            <v>19</v>
          </cell>
        </row>
        <row r="296">
          <cell r="M296">
            <v>45113.659039351849</v>
          </cell>
          <cell r="N296">
            <v>19</v>
          </cell>
        </row>
        <row r="297">
          <cell r="M297">
            <v>45113.659537037034</v>
          </cell>
          <cell r="N297">
            <v>19</v>
          </cell>
        </row>
        <row r="298">
          <cell r="M298">
            <v>45113.66369212963</v>
          </cell>
          <cell r="N298">
            <v>19</v>
          </cell>
        </row>
        <row r="299">
          <cell r="M299">
            <v>45113.683148148149</v>
          </cell>
          <cell r="N299">
            <v>19</v>
          </cell>
        </row>
        <row r="300">
          <cell r="M300">
            <v>45113.68378472222</v>
          </cell>
          <cell r="N300">
            <v>19</v>
          </cell>
        </row>
        <row r="301">
          <cell r="M301">
            <v>45113.708668981482</v>
          </cell>
          <cell r="N301">
            <v>19</v>
          </cell>
        </row>
        <row r="302">
          <cell r="H302" t="str">
            <v>155000025591</v>
          </cell>
          <cell r="M302">
            <v>45113.532719907409</v>
          </cell>
          <cell r="N302">
            <v>20</v>
          </cell>
        </row>
        <row r="303">
          <cell r="M303">
            <v>45113.577499999999</v>
          </cell>
          <cell r="N303">
            <v>20</v>
          </cell>
        </row>
        <row r="304">
          <cell r="M304">
            <v>45113.577962962961</v>
          </cell>
          <cell r="N304">
            <v>20</v>
          </cell>
        </row>
        <row r="305">
          <cell r="M305">
            <v>45113.577974537038</v>
          </cell>
          <cell r="N305">
            <v>20</v>
          </cell>
        </row>
        <row r="306">
          <cell r="M306">
            <v>45113.578564814816</v>
          </cell>
          <cell r="N306">
            <v>20</v>
          </cell>
        </row>
        <row r="307">
          <cell r="M307">
            <v>45113.663078703707</v>
          </cell>
          <cell r="N307">
            <v>20</v>
          </cell>
        </row>
        <row r="308">
          <cell r="M308">
            <v>45113.686064814814</v>
          </cell>
          <cell r="N308">
            <v>20</v>
          </cell>
        </row>
        <row r="309">
          <cell r="M309">
            <v>45113.846747685187</v>
          </cell>
          <cell r="N309">
            <v>20</v>
          </cell>
        </row>
        <row r="310">
          <cell r="M310">
            <v>45113.847037037034</v>
          </cell>
          <cell r="N310">
            <v>20</v>
          </cell>
        </row>
        <row r="311">
          <cell r="M311">
            <v>45113.848749999997</v>
          </cell>
          <cell r="N311">
            <v>20</v>
          </cell>
        </row>
        <row r="312">
          <cell r="M312">
            <v>45113.849965277775</v>
          </cell>
          <cell r="N312">
            <v>20</v>
          </cell>
        </row>
        <row r="313">
          <cell r="M313">
            <v>45113.849988425929</v>
          </cell>
          <cell r="N313">
            <v>20</v>
          </cell>
        </row>
        <row r="314">
          <cell r="M314">
            <v>45113.850266203706</v>
          </cell>
          <cell r="N314">
            <v>20</v>
          </cell>
        </row>
        <row r="315">
          <cell r="M315">
            <v>45113.850428240738</v>
          </cell>
          <cell r="N315">
            <v>20</v>
          </cell>
        </row>
        <row r="316">
          <cell r="M316">
            <v>45113.850555555553</v>
          </cell>
          <cell r="N316">
            <v>20</v>
          </cell>
        </row>
        <row r="317">
          <cell r="M317">
            <v>45113.850798611114</v>
          </cell>
          <cell r="N317">
            <v>20</v>
          </cell>
        </row>
        <row r="318">
          <cell r="M318">
            <v>45113.851168981484</v>
          </cell>
          <cell r="N318">
            <v>20</v>
          </cell>
        </row>
        <row r="319">
          <cell r="M319">
            <v>45113.851400462961</v>
          </cell>
          <cell r="N319">
            <v>20</v>
          </cell>
        </row>
        <row r="320">
          <cell r="M320">
            <v>45113.861226851855</v>
          </cell>
          <cell r="N320">
            <v>20</v>
          </cell>
        </row>
        <row r="321">
          <cell r="H321" t="str">
            <v>155000025486</v>
          </cell>
          <cell r="M321">
            <v>45113.559525462966</v>
          </cell>
          <cell r="N321">
            <v>21</v>
          </cell>
        </row>
        <row r="322">
          <cell r="H322" t="str">
            <v>155000026012</v>
          </cell>
          <cell r="M322">
            <v>45113.611909722225</v>
          </cell>
          <cell r="N322">
            <v>22</v>
          </cell>
        </row>
        <row r="323">
          <cell r="M323">
            <v>45113.689826388887</v>
          </cell>
          <cell r="N323">
            <v>22</v>
          </cell>
        </row>
        <row r="324">
          <cell r="M324">
            <v>45114.006932870368</v>
          </cell>
          <cell r="N324">
            <v>22</v>
          </cell>
        </row>
        <row r="325">
          <cell r="M325">
            <v>45114.006990740738</v>
          </cell>
          <cell r="N325">
            <v>22</v>
          </cell>
        </row>
        <row r="326">
          <cell r="M326">
            <v>45114.64508101852</v>
          </cell>
          <cell r="N326">
            <v>22</v>
          </cell>
        </row>
        <row r="327">
          <cell r="M327">
            <v>45114.645462962966</v>
          </cell>
          <cell r="N327">
            <v>22</v>
          </cell>
        </row>
        <row r="328">
          <cell r="M328">
            <v>45114.645694444444</v>
          </cell>
          <cell r="N328">
            <v>22</v>
          </cell>
        </row>
        <row r="329">
          <cell r="M329">
            <v>45114.645775462966</v>
          </cell>
          <cell r="N329">
            <v>22</v>
          </cell>
        </row>
        <row r="330">
          <cell r="M330">
            <v>45114.646331018521</v>
          </cell>
          <cell r="N330">
            <v>22</v>
          </cell>
        </row>
        <row r="331">
          <cell r="M331">
            <v>45114.64634259259</v>
          </cell>
          <cell r="N331">
            <v>22</v>
          </cell>
        </row>
        <row r="332">
          <cell r="M332">
            <v>45114.646782407406</v>
          </cell>
          <cell r="N332">
            <v>22</v>
          </cell>
        </row>
        <row r="333">
          <cell r="M333">
            <v>45114.646990740737</v>
          </cell>
          <cell r="N333">
            <v>22</v>
          </cell>
        </row>
        <row r="334">
          <cell r="M334">
            <v>45114.647256944445</v>
          </cell>
          <cell r="N334">
            <v>22</v>
          </cell>
        </row>
        <row r="335">
          <cell r="M335">
            <v>45114.647673611114</v>
          </cell>
          <cell r="N335">
            <v>22</v>
          </cell>
        </row>
        <row r="336">
          <cell r="M336">
            <v>45114.647696759261</v>
          </cell>
          <cell r="N336">
            <v>22</v>
          </cell>
        </row>
        <row r="337">
          <cell r="M337">
            <v>45114.647881944446</v>
          </cell>
          <cell r="N337">
            <v>22</v>
          </cell>
        </row>
        <row r="338">
          <cell r="M338">
            <v>45114.648321759261</v>
          </cell>
          <cell r="N338">
            <v>22</v>
          </cell>
        </row>
        <row r="339">
          <cell r="M339">
            <v>45114.6484837963</v>
          </cell>
          <cell r="N339">
            <v>22</v>
          </cell>
        </row>
        <row r="340">
          <cell r="M340">
            <v>45114.649189814816</v>
          </cell>
          <cell r="N340">
            <v>22</v>
          </cell>
        </row>
        <row r="341">
          <cell r="M341">
            <v>45114.649270833332</v>
          </cell>
          <cell r="N341">
            <v>22</v>
          </cell>
        </row>
        <row r="342">
          <cell r="H342" t="str">
            <v>155000025973</v>
          </cell>
          <cell r="M342">
            <v>45113.682060185187</v>
          </cell>
          <cell r="N342">
            <v>23</v>
          </cell>
        </row>
        <row r="343">
          <cell r="M343">
            <v>45113.682314814818</v>
          </cell>
          <cell r="N343">
            <v>23</v>
          </cell>
        </row>
        <row r="344">
          <cell r="M344">
            <v>45113.688935185186</v>
          </cell>
          <cell r="N344">
            <v>23</v>
          </cell>
        </row>
        <row r="345">
          <cell r="M345">
            <v>45113.689143518517</v>
          </cell>
          <cell r="N345">
            <v>23</v>
          </cell>
        </row>
        <row r="346">
          <cell r="M346">
            <v>45113.689363425925</v>
          </cell>
          <cell r="N346">
            <v>23</v>
          </cell>
        </row>
        <row r="347">
          <cell r="M347">
            <v>45113.709699074076</v>
          </cell>
          <cell r="N347">
            <v>23</v>
          </cell>
        </row>
        <row r="348">
          <cell r="M348">
            <v>45113.837546296294</v>
          </cell>
          <cell r="N348">
            <v>23</v>
          </cell>
        </row>
        <row r="349">
          <cell r="M349">
            <v>45113.908182870371</v>
          </cell>
          <cell r="N349">
            <v>23</v>
          </cell>
        </row>
        <row r="350">
          <cell r="M350">
            <v>45113.908368055556</v>
          </cell>
          <cell r="N350">
            <v>23</v>
          </cell>
        </row>
        <row r="351">
          <cell r="M351">
            <v>45114.277708333335</v>
          </cell>
          <cell r="N351">
            <v>23</v>
          </cell>
        </row>
        <row r="352">
          <cell r="M352">
            <v>45114.279768518521</v>
          </cell>
          <cell r="N352">
            <v>23</v>
          </cell>
        </row>
        <row r="353">
          <cell r="M353">
            <v>45114.279918981483</v>
          </cell>
          <cell r="N353">
            <v>23</v>
          </cell>
        </row>
        <row r="354">
          <cell r="M354">
            <v>45114.280185185184</v>
          </cell>
          <cell r="N354">
            <v>23</v>
          </cell>
        </row>
        <row r="355">
          <cell r="M355">
            <v>45114.2809375</v>
          </cell>
          <cell r="N355">
            <v>23</v>
          </cell>
        </row>
        <row r="356">
          <cell r="H356" t="str">
            <v>155000025417</v>
          </cell>
          <cell r="M356">
            <v>45113.696261574078</v>
          </cell>
          <cell r="N356">
            <v>24</v>
          </cell>
        </row>
        <row r="357">
          <cell r="M357">
            <v>45113.709143518521</v>
          </cell>
          <cell r="N357">
            <v>24</v>
          </cell>
        </row>
        <row r="358">
          <cell r="M358">
            <v>45113.736296296294</v>
          </cell>
          <cell r="N358">
            <v>24</v>
          </cell>
        </row>
        <row r="359">
          <cell r="M359">
            <v>45113.736863425926</v>
          </cell>
          <cell r="N359">
            <v>24</v>
          </cell>
        </row>
        <row r="360">
          <cell r="M360">
            <v>45113.738125000003</v>
          </cell>
          <cell r="N360">
            <v>24</v>
          </cell>
        </row>
        <row r="361">
          <cell r="M361">
            <v>45113.804976851854</v>
          </cell>
          <cell r="N361">
            <v>24</v>
          </cell>
        </row>
        <row r="362">
          <cell r="M362">
            <v>45113.807083333333</v>
          </cell>
          <cell r="N362">
            <v>24</v>
          </cell>
        </row>
        <row r="363">
          <cell r="M363">
            <v>45113.898553240739</v>
          </cell>
          <cell r="N363">
            <v>24</v>
          </cell>
        </row>
        <row r="364">
          <cell r="M364">
            <v>45113.899108796293</v>
          </cell>
          <cell r="N364">
            <v>24</v>
          </cell>
        </row>
        <row r="365">
          <cell r="M365">
            <v>45114.763611111113</v>
          </cell>
          <cell r="N365">
            <v>24</v>
          </cell>
        </row>
        <row r="366">
          <cell r="H366" t="str">
            <v>155000025757</v>
          </cell>
          <cell r="M366">
            <v>45113.71671296296</v>
          </cell>
          <cell r="N366">
            <v>25</v>
          </cell>
        </row>
        <row r="367">
          <cell r="M367">
            <v>45113.716724537036</v>
          </cell>
          <cell r="N367">
            <v>25</v>
          </cell>
        </row>
        <row r="368">
          <cell r="M368">
            <v>45113.967199074075</v>
          </cell>
          <cell r="N368">
            <v>25</v>
          </cell>
        </row>
        <row r="369">
          <cell r="M369">
            <v>45113.968599537038</v>
          </cell>
          <cell r="N369">
            <v>25</v>
          </cell>
        </row>
        <row r="370">
          <cell r="M370">
            <v>45113.991527777776</v>
          </cell>
          <cell r="N370">
            <v>25</v>
          </cell>
        </row>
        <row r="371">
          <cell r="H371" t="str">
            <v>155000025167</v>
          </cell>
          <cell r="M371">
            <v>45113.923425925925</v>
          </cell>
        </row>
        <row r="372">
          <cell r="M372">
            <v>45113.937025462961</v>
          </cell>
          <cell r="N372">
            <v>26</v>
          </cell>
        </row>
        <row r="373">
          <cell r="H373" t="str">
            <v>155000025439</v>
          </cell>
          <cell r="M373">
            <v>45113.931550925925</v>
          </cell>
          <cell r="N373">
            <v>27</v>
          </cell>
        </row>
        <row r="374">
          <cell r="H374" t="str">
            <v>155000025800</v>
          </cell>
          <cell r="M374">
            <v>45113.946377314816</v>
          </cell>
          <cell r="N374">
            <v>28</v>
          </cell>
        </row>
        <row r="375">
          <cell r="M375">
            <v>45114.008761574078</v>
          </cell>
          <cell r="N375">
            <v>28</v>
          </cell>
        </row>
        <row r="376">
          <cell r="M376">
            <v>45114.185162037036</v>
          </cell>
          <cell r="N376">
            <v>28</v>
          </cell>
        </row>
        <row r="377">
          <cell r="M377">
            <v>45114.51599537037</v>
          </cell>
          <cell r="N377">
            <v>28</v>
          </cell>
        </row>
        <row r="378">
          <cell r="H378" t="str">
            <v>155000025801</v>
          </cell>
          <cell r="M378">
            <v>45113.995833333334</v>
          </cell>
          <cell r="N378">
            <v>29</v>
          </cell>
        </row>
        <row r="379">
          <cell r="M379">
            <v>45114.053159722222</v>
          </cell>
          <cell r="N379">
            <v>29</v>
          </cell>
        </row>
        <row r="380">
          <cell r="M380">
            <v>45114.057280092595</v>
          </cell>
          <cell r="N380">
            <v>29</v>
          </cell>
        </row>
        <row r="381">
          <cell r="M381">
            <v>45114.058819444443</v>
          </cell>
          <cell r="N381">
            <v>29</v>
          </cell>
        </row>
        <row r="382">
          <cell r="M382">
            <v>45114.238541666666</v>
          </cell>
          <cell r="N382">
            <v>29</v>
          </cell>
        </row>
        <row r="383">
          <cell r="M383">
            <v>45114.239166666666</v>
          </cell>
          <cell r="N383">
            <v>29</v>
          </cell>
        </row>
        <row r="384">
          <cell r="H384" t="str">
            <v>155000025656</v>
          </cell>
          <cell r="M384">
            <v>45114.011504629627</v>
          </cell>
          <cell r="N384">
            <v>30</v>
          </cell>
        </row>
        <row r="385">
          <cell r="M385">
            <v>45114.012303240743</v>
          </cell>
          <cell r="N385">
            <v>30</v>
          </cell>
        </row>
        <row r="386">
          <cell r="M386">
            <v>45114.012337962966</v>
          </cell>
          <cell r="N386">
            <v>30</v>
          </cell>
        </row>
        <row r="387">
          <cell r="H387" t="str">
            <v>155000025368</v>
          </cell>
          <cell r="M387">
            <v>45114.130046296297</v>
          </cell>
          <cell r="N387">
            <v>31</v>
          </cell>
        </row>
        <row r="388">
          <cell r="M388">
            <v>45114.131238425929</v>
          </cell>
          <cell r="N388">
            <v>31</v>
          </cell>
        </row>
        <row r="389">
          <cell r="M389">
            <v>45114.131284722222</v>
          </cell>
          <cell r="N389">
            <v>31</v>
          </cell>
        </row>
        <row r="390">
          <cell r="M390">
            <v>45114.152418981481</v>
          </cell>
          <cell r="N390">
            <v>31</v>
          </cell>
        </row>
        <row r="391">
          <cell r="H391" t="str">
            <v>155000025312</v>
          </cell>
          <cell r="M391">
            <v>45114.743738425925</v>
          </cell>
          <cell r="N391">
            <v>32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queryTables/queryTable1.xml><?xml version="1.0" encoding="utf-8"?>
<queryTable xmlns="http://schemas.openxmlformats.org/spreadsheetml/2006/main" name="16_06_77" connectionId="10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16_06_240" connectionId="349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16_06_55" connectionId="310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16_06_191" connectionId="302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16_06_235" connectionId="172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16_06_257" connectionId="293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16_06_228" connectionId="46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16_06_245" connectionId="223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16_06_256" connectionId="307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6_06_221" connectionId="43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16_06_22" connectionId="8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16_06_108" connectionId="398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16_06_227" connectionId="49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16_06_160" connectionId="100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16_06_128" connectionId="334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16_06_114" connectionId="128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16_06_246" connectionId="80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16_06_166" connectionId="273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16_06_42" connectionId="409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16_06_233" connectionId="54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16_06_196" connectionId="381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16_06_95" connectionId="301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16_06_110" connectionId="306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16_06_34" connectionId="7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16_06_78" connectionId="160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16_06_209" connectionId="198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16_06_52" connectionId="380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16_06_132" connectionId="442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16_06_124" connectionId="39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16_06_135" connectionId="91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16_06_170" connectionId="65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16_06_161" connectionId="45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16_06_56" connectionId="197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16_06_210" connectionId="154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16_06_25" connectionId="55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16_06_74" connectionId="295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16_06_43" connectionId="454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16_06_198" connectionId="205" autoFormatId="16" applyNumberFormats="0" applyBorderFormats="0" applyFontFormats="0" applyPatternFormats="0" applyAlignmentFormats="0" applyWidthHeightFormats="0"/>
</file>

<file path=xl/queryTables/queryTable39.xml><?xml version="1.0" encoding="utf-8"?>
<queryTable xmlns="http://schemas.openxmlformats.org/spreadsheetml/2006/main" name="16_06_148" connectionId="18" autoFormatId="16" applyNumberFormats="0" applyBorderFormats="0" applyFontFormats="0" applyPatternFormats="0" applyAlignmentFormats="0" applyWidthHeightFormats="0"/>
</file>

<file path=xl/queryTables/queryTable40.xml><?xml version="1.0" encoding="utf-8"?>
<queryTable xmlns="http://schemas.openxmlformats.org/spreadsheetml/2006/main" name="16_06_33" connectionId="10" autoFormatId="16" applyNumberFormats="0" applyBorderFormats="0" applyFontFormats="0" applyPatternFormats="0" applyAlignmentFormats="0" applyWidthHeightFormats="0"/>
</file>

<file path=xl/queryTables/queryTable41.xml><?xml version="1.0" encoding="utf-8"?>
<queryTable xmlns="http://schemas.openxmlformats.org/spreadsheetml/2006/main" name="16_06_163" connectionId="178" autoFormatId="16" applyNumberFormats="0" applyBorderFormats="0" applyFontFormats="0" applyPatternFormats="0" applyAlignmentFormats="0" applyWidthHeightFormats="0"/>
</file>

<file path=xl/queryTables/queryTable42.xml><?xml version="1.0" encoding="utf-8"?>
<queryTable xmlns="http://schemas.openxmlformats.org/spreadsheetml/2006/main" name="16_06_195" connectionId="425" autoFormatId="16" applyNumberFormats="0" applyBorderFormats="0" applyFontFormats="0" applyPatternFormats="0" applyAlignmentFormats="0" applyWidthHeightFormats="0"/>
</file>

<file path=xl/queryTables/queryTable43.xml><?xml version="1.0" encoding="utf-8"?>
<queryTable xmlns="http://schemas.openxmlformats.org/spreadsheetml/2006/main" name="16_06_164" connectionId="245" autoFormatId="16" applyNumberFormats="0" applyBorderFormats="0" applyFontFormats="0" applyPatternFormats="0" applyAlignmentFormats="0" applyWidthHeightFormats="0"/>
</file>

<file path=xl/queryTables/queryTable44.xml><?xml version="1.0" encoding="utf-8"?>
<queryTable xmlns="http://schemas.openxmlformats.org/spreadsheetml/2006/main" name="16_06_76" connectionId="325" autoFormatId="16" applyNumberFormats="0" applyBorderFormats="0" applyFontFormats="0" applyPatternFormats="0" applyAlignmentFormats="0" applyWidthHeightFormats="0"/>
</file>

<file path=xl/queryTables/queryTable45.xml><?xml version="1.0" encoding="utf-8"?>
<queryTable xmlns="http://schemas.openxmlformats.org/spreadsheetml/2006/main" name="16_06_51" connectionId="125" autoFormatId="16" applyNumberFormats="0" applyBorderFormats="0" applyFontFormats="0" applyPatternFormats="0" applyAlignmentFormats="0" applyWidthHeightFormats="0"/>
</file>

<file path=xl/queryTables/queryTable46.xml><?xml version="1.0" encoding="utf-8"?>
<queryTable xmlns="http://schemas.openxmlformats.org/spreadsheetml/2006/main" name="16_06_26" connectionId="288" autoFormatId="16" applyNumberFormats="0" applyBorderFormats="0" applyFontFormats="0" applyPatternFormats="0" applyAlignmentFormats="0" applyWidthHeightFormats="0"/>
</file>

<file path=xl/queryTables/queryTable47.xml><?xml version="1.0" encoding="utf-8"?>
<queryTable xmlns="http://schemas.openxmlformats.org/spreadsheetml/2006/main" name="16_06_111" connectionId="279" autoFormatId="16" applyNumberFormats="0" applyBorderFormats="0" applyFontFormats="0" applyPatternFormats="0" applyAlignmentFormats="0" applyWidthHeightFormats="0"/>
</file>

<file path=xl/queryTables/queryTable48.xml><?xml version="1.0" encoding="utf-8"?>
<queryTable xmlns="http://schemas.openxmlformats.org/spreadsheetml/2006/main" name="16_06_244" connectionId="59" autoFormatId="16" applyNumberFormats="0" applyBorderFormats="0" applyFontFormats="0" applyPatternFormats="0" applyAlignmentFormats="0" applyWidthHeightFormats="0"/>
</file>

<file path=xl/queryTables/queryTable49.xml><?xml version="1.0" encoding="utf-8"?>
<queryTable xmlns="http://schemas.openxmlformats.org/spreadsheetml/2006/main" name="16_06_184" connectionId="353" autoFormatId="16" applyNumberFormats="0" applyBorderFormats="0" applyFontFormats="0" applyPatternFormats="0" applyAlignmentFormats="0" applyWidthHeightFormats="0"/>
</file>

<file path=xl/queryTables/queryTable50.xml><?xml version="1.0" encoding="utf-8"?>
<queryTable xmlns="http://schemas.openxmlformats.org/spreadsheetml/2006/main" name="16_06_115" connectionId="107" autoFormatId="16" applyNumberFormats="0" applyBorderFormats="0" applyFontFormats="0" applyPatternFormats="0" applyAlignmentFormats="0" applyWidthHeightFormats="0"/>
</file>

<file path=xl/queryTables/queryTable51.xml><?xml version="1.0" encoding="utf-8"?>
<queryTable xmlns="http://schemas.openxmlformats.org/spreadsheetml/2006/main" name="1317755739475482419-13_07_24" connectionId="1" autoFormatId="16" applyNumberFormats="0" applyBorderFormats="0" applyFontFormats="0" applyPatternFormats="0" applyAlignmentFormats="0" applyWidthHeightFormats="0"/>
</file>

<file path=xl/queryTables/queryTable52.xml><?xml version="1.0" encoding="utf-8"?>
<queryTable xmlns="http://schemas.openxmlformats.org/spreadsheetml/2006/main" name="16_06_27" connectionId="75" autoFormatId="16" applyNumberFormats="0" applyBorderFormats="0" applyFontFormats="0" applyPatternFormats="0" applyAlignmentFormats="0" applyWidthHeightFormats="0"/>
</file>

<file path=xl/queryTables/queryTable53.xml><?xml version="1.0" encoding="utf-8"?>
<queryTable xmlns="http://schemas.openxmlformats.org/spreadsheetml/2006/main" name="16_06_67" connectionId="337" autoFormatId="16" applyNumberFormats="0" applyBorderFormats="0" applyFontFormats="0" applyPatternFormats="0" applyAlignmentFormats="0" applyWidthHeightFormats="0"/>
</file>

<file path=xl/queryTables/queryTable54.xml><?xml version="1.0" encoding="utf-8"?>
<queryTable xmlns="http://schemas.openxmlformats.org/spreadsheetml/2006/main" name="16_06_180" connectionId="344" autoFormatId="16" applyNumberFormats="0" applyBorderFormats="0" applyFontFormats="0" applyPatternFormats="0" applyAlignmentFormats="0" applyWidthHeightFormats="0"/>
</file>

<file path=xl/queryTables/queryTable55.xml><?xml version="1.0" encoding="utf-8"?>
<queryTable xmlns="http://schemas.openxmlformats.org/spreadsheetml/2006/main" name="16_06_138" connectionId="304" autoFormatId="16" applyNumberFormats="0" applyBorderFormats="0" applyFontFormats="0" applyPatternFormats="0" applyAlignmentFormats="0" applyWidthHeightFormats="0"/>
</file>

<file path=xl/queryTables/queryTable56.xml><?xml version="1.0" encoding="utf-8"?>
<queryTable xmlns="http://schemas.openxmlformats.org/spreadsheetml/2006/main" name="16_06_248" connectionId="12" autoFormatId="16" applyNumberFormats="0" applyBorderFormats="0" applyFontFormats="0" applyPatternFormats="0" applyAlignmentFormats="0" applyWidthHeightFormats="0"/>
</file>

<file path=xl/queryTables/queryTable57.xml><?xml version="1.0" encoding="utf-8"?>
<queryTable xmlns="http://schemas.openxmlformats.org/spreadsheetml/2006/main" name="16_06_99" connectionId="53" autoFormatId="16" applyNumberFormats="0" applyBorderFormats="0" applyFontFormats="0" applyPatternFormats="0" applyAlignmentFormats="0" applyWidthHeightFormats="0"/>
</file>

<file path=xl/queryTables/queryTable58.xml><?xml version="1.0" encoding="utf-8"?>
<queryTable xmlns="http://schemas.openxmlformats.org/spreadsheetml/2006/main" name="16_06_118" connectionId="285" autoFormatId="16" applyNumberFormats="0" applyBorderFormats="0" applyFontFormats="0" applyPatternFormats="0" applyAlignmentFormats="0" applyWidthHeightFormats="0"/>
</file>

<file path=xl/queryTables/queryTable59.xml><?xml version="1.0" encoding="utf-8"?>
<queryTable xmlns="http://schemas.openxmlformats.org/spreadsheetml/2006/main" name="16_06_259" connectionId="94" autoFormatId="16" applyNumberFormats="0" applyBorderFormats="0" applyFontFormats="0" applyPatternFormats="0" applyAlignmentFormats="0" applyWidthHeightFormats="0"/>
</file>

<file path=xl/queryTables/queryTable60.xml><?xml version="1.0" encoding="utf-8"?>
<queryTable xmlns="http://schemas.openxmlformats.org/spreadsheetml/2006/main" name="16_06_185" connectionId="296" autoFormatId="16" applyNumberFormats="0" applyBorderFormats="0" applyFontFormats="0" applyPatternFormats="0" applyAlignmentFormats="0" applyWidthHeightFormats="0"/>
</file>

<file path=xl/queryTables/queryTable61.xml><?xml version="1.0" encoding="utf-8"?>
<queryTable xmlns="http://schemas.openxmlformats.org/spreadsheetml/2006/main" name="16_06_36" connectionId="58" autoFormatId="16" applyNumberFormats="0" applyBorderFormats="0" applyFontFormats="0" applyPatternFormats="0" applyAlignmentFormats="0" applyWidthHeightFormats="0"/>
</file>

<file path=xl/queryTables/queryTable62.xml><?xml version="1.0" encoding="utf-8"?>
<queryTable xmlns="http://schemas.openxmlformats.org/spreadsheetml/2006/main" name="16_06_260" connectionId="194" autoFormatId="16" applyNumberFormats="0" applyBorderFormats="0" applyFontFormats="0" applyPatternFormats="0" applyAlignmentFormats="0" applyWidthHeightFormats="0"/>
</file>

<file path=xl/queryTables/queryTable63.xml><?xml version="1.0" encoding="utf-8"?>
<queryTable xmlns="http://schemas.openxmlformats.org/spreadsheetml/2006/main" name="16_06_234" connectionId="239" autoFormatId="16" applyNumberFormats="0" applyBorderFormats="0" applyFontFormats="0" applyPatternFormats="0" applyAlignmentFormats="0" applyWidthHeightFormats="0"/>
</file>

<file path=xl/queryTables/queryTable64.xml><?xml version="1.0" encoding="utf-8"?>
<queryTable xmlns="http://schemas.openxmlformats.org/spreadsheetml/2006/main" name="16_06_222" connectionId="455" autoFormatId="16" applyNumberFormats="0" applyBorderFormats="0" applyFontFormats="0" applyPatternFormats="0" applyAlignmentFormats="0" applyWidthHeightFormats="0"/>
</file>

<file path=xl/queryTables/queryTable65.xml><?xml version="1.0" encoding="utf-8"?>
<queryTable xmlns="http://schemas.openxmlformats.org/spreadsheetml/2006/main" name="16_06_247" connectionId="278" autoFormatId="16" applyNumberFormats="0" applyBorderFormats="0" applyFontFormats="0" applyPatternFormats="0" applyAlignmentFormats="0" applyWidthHeightFormats="0"/>
</file>

<file path=xl/queryTables/queryTable66.xml><?xml version="1.0" encoding="utf-8"?>
<queryTable xmlns="http://schemas.openxmlformats.org/spreadsheetml/2006/main" name="16_06_177" connectionId="410" autoFormatId="16" applyNumberFormats="0" applyBorderFormats="0" applyFontFormats="0" applyPatternFormats="0" applyAlignmentFormats="0" applyWidthHeightFormats="0"/>
</file>

<file path=xl/queryTables/queryTable67.xml><?xml version="1.0" encoding="utf-8"?>
<queryTable xmlns="http://schemas.openxmlformats.org/spreadsheetml/2006/main" name="16_06_91" connectionId="445" autoFormatId="16" applyNumberFormats="0" applyBorderFormats="0" applyFontFormats="0" applyPatternFormats="0" applyAlignmentFormats="0" applyWidthHeightFormats="0"/>
</file>

<file path=xl/queryTables/queryTable68.xml><?xml version="1.0" encoding="utf-8"?>
<queryTable xmlns="http://schemas.openxmlformats.org/spreadsheetml/2006/main" name="16_06_140" connectionId="135" autoFormatId="16" applyNumberFormats="0" applyBorderFormats="0" applyFontFormats="0" applyPatternFormats="0" applyAlignmentFormats="0" applyWidthHeightFormats="0"/>
</file>

<file path=xl/queryTables/queryTable69.xml><?xml version="1.0" encoding="utf-8"?>
<queryTable xmlns="http://schemas.openxmlformats.org/spreadsheetml/2006/main" name="16_06_225" connectionId="394" autoFormatId="16" applyNumberFormats="0" applyBorderFormats="0" applyFontFormats="0" applyPatternFormats="0" applyAlignmentFormats="0" applyWidthHeightFormats="0"/>
</file>

<file path=xl/queryTables/queryTable70.xml><?xml version="1.0" encoding="utf-8"?>
<queryTable xmlns="http://schemas.openxmlformats.org/spreadsheetml/2006/main" name="16_06_123" connectionId="390" autoFormatId="16" applyNumberFormats="0" applyBorderFormats="0" applyFontFormats="0" applyPatternFormats="0" applyAlignmentFormats="0" applyWidthHeightFormats="0"/>
</file>

<file path=xl/queryTables/queryTable71.xml><?xml version="1.0" encoding="utf-8"?>
<queryTable xmlns="http://schemas.openxmlformats.org/spreadsheetml/2006/main" name="16_06_129" connectionId="85" autoFormatId="16" applyNumberFormats="0" applyBorderFormats="0" applyFontFormats="0" applyPatternFormats="0" applyAlignmentFormats="0" applyWidthHeightFormats="0"/>
</file>

<file path=xl/queryTables/queryTable72.xml><?xml version="1.0" encoding="utf-8"?>
<queryTable xmlns="http://schemas.openxmlformats.org/spreadsheetml/2006/main" name="16_06_137" connectionId="141" autoFormatId="16" applyNumberFormats="0" applyBorderFormats="0" applyFontFormats="0" applyPatternFormats="0" applyAlignmentFormats="0" applyWidthHeightFormats="0"/>
</file>

<file path=xl/queryTables/queryTable73.xml><?xml version="1.0" encoding="utf-8"?>
<queryTable xmlns="http://schemas.openxmlformats.org/spreadsheetml/2006/main" name="16_06_133" connectionId="383" autoFormatId="16" applyNumberFormats="0" applyBorderFormats="0" applyFontFormats="0" applyPatternFormats="0" applyAlignmentFormats="0" applyWidthHeightFormats="0"/>
</file>

<file path=xl/queryTables/queryTable74.xml><?xml version="1.0" encoding="utf-8"?>
<queryTable xmlns="http://schemas.openxmlformats.org/spreadsheetml/2006/main" name="16_06_249" connectionId="60" autoFormatId="16" applyNumberFormats="0" applyBorderFormats="0" applyFontFormats="0" applyPatternFormats="0" applyAlignmentFormats="0" applyWidthHeightFormats="0"/>
</file>

<file path=xl/queryTables/queryTable75.xml><?xml version="1.0" encoding="utf-8"?>
<queryTable xmlns="http://schemas.openxmlformats.org/spreadsheetml/2006/main" name="16_06_167" connectionId="51" autoFormatId="16" applyNumberFormats="0" applyBorderFormats="0" applyFontFormats="0" applyPatternFormats="0" applyAlignmentFormats="0" applyWidthHeightFormats="0"/>
</file>

<file path=xl/queryTables/queryTable76.xml><?xml version="1.0" encoding="utf-8"?>
<queryTable xmlns="http://schemas.openxmlformats.org/spreadsheetml/2006/main" name="16_06_66" connectionId="145" autoFormatId="16" applyNumberFormats="0" applyBorderFormats="0" applyFontFormats="0" applyPatternFormats="0" applyAlignmentFormats="0" applyWidthHeightFormats="0"/>
</file>

<file path=xl/queryTables/queryTable77.xml><?xml version="1.0" encoding="utf-8"?>
<queryTable xmlns="http://schemas.openxmlformats.org/spreadsheetml/2006/main" name="16_06_116" connectionId="169" autoFormatId="16" applyNumberFormats="0" applyBorderFormats="0" applyFontFormats="0" applyPatternFormats="0" applyAlignmentFormats="0" applyWidthHeightFormats="0"/>
</file>

<file path=xl/queryTables/queryTable78.xml><?xml version="1.0" encoding="utf-8"?>
<queryTable xmlns="http://schemas.openxmlformats.org/spreadsheetml/2006/main" name="16_06_190" connectionId="234" autoFormatId="16" applyNumberFormats="0" applyBorderFormats="0" applyFontFormats="0" applyPatternFormats="0" applyAlignmentFormats="0" applyWidthHeightFormats="0"/>
</file>

<file path=xl/queryTables/queryTable79.xml><?xml version="1.0" encoding="utf-8"?>
<queryTable xmlns="http://schemas.openxmlformats.org/spreadsheetml/2006/main" name="16_06_204" connectionId="416" autoFormatId="16" applyNumberFormats="0" applyBorderFormats="0" applyFontFormats="0" applyPatternFormats="0" applyAlignmentFormats="0" applyWidthHeightFormats="0"/>
</file>

<file path=xl/queryTables/queryTable80.xml><?xml version="1.0" encoding="utf-8"?>
<queryTable xmlns="http://schemas.openxmlformats.org/spreadsheetml/2006/main" name="16_06_188" connectionId="250" autoFormatId="16" applyNumberFormats="0" applyBorderFormats="0" applyFontFormats="0" applyPatternFormats="0" applyAlignmentFormats="0" applyWidthHeightFormats="0"/>
</file>

<file path=xl/queryTables/queryTable81.xml><?xml version="1.0" encoding="utf-8"?>
<queryTable xmlns="http://schemas.openxmlformats.org/spreadsheetml/2006/main" name="16_06_60" connectionId="317" autoFormatId="16" applyNumberFormats="0" applyBorderFormats="0" applyFontFormats="0" applyPatternFormats="0" applyAlignmentFormats="0" applyWidthHeightFormats="0"/>
</file>

<file path=xl/queryTables/queryTable82.xml><?xml version="1.0" encoding="utf-8"?>
<queryTable xmlns="http://schemas.openxmlformats.org/spreadsheetml/2006/main" name="16_06_79" connectionId="212" autoFormatId="16" applyNumberFormats="0" applyBorderFormats="0" applyFontFormats="0" applyPatternFormats="0" applyAlignmentFormats="0" applyWidthHeightFormats="0"/>
</file>

<file path=xl/queryTables/queryTable83.xml><?xml version="1.0" encoding="utf-8"?>
<queryTable xmlns="http://schemas.openxmlformats.org/spreadsheetml/2006/main" name="16_06_171" connectionId="370" autoFormatId="16" applyNumberFormats="0" applyBorderFormats="0" applyFontFormats="0" applyPatternFormats="0" applyAlignmentFormats="0" applyWidthHeightFormats="0"/>
</file>

<file path=xl/queryTables/queryTable84.xml><?xml version="1.0" encoding="utf-8"?>
<queryTable xmlns="http://schemas.openxmlformats.org/spreadsheetml/2006/main" name="16_06_142" connectionId="115" autoFormatId="16" applyNumberFormats="0" applyBorderFormats="0" applyFontFormats="0" applyPatternFormats="0" applyAlignmentFormats="0" applyWidthHeightFormats="0"/>
</file>

<file path=xl/queryTables/queryTable85.xml><?xml version="1.0" encoding="utf-8"?>
<queryTable xmlns="http://schemas.openxmlformats.org/spreadsheetml/2006/main" name="16_06_199" connectionId="360" autoFormatId="16" applyNumberFormats="0" applyBorderFormats="0" applyFontFormats="0" applyPatternFormats="0" applyAlignmentFormats="0" applyWidthHeightFormats="0"/>
</file>

<file path=xl/queryTables/queryTable86.xml><?xml version="1.0" encoding="utf-8"?>
<queryTable xmlns="http://schemas.openxmlformats.org/spreadsheetml/2006/main" name="16_06_68" connectionId="175" autoFormatId="16" applyNumberFormats="0" applyBorderFormats="0" applyFontFormats="0" applyPatternFormats="0" applyAlignmentFormats="0" applyWidthHeightFormats="0"/>
</file>

<file path=xl/queryTables/queryTable87.xml><?xml version="1.0" encoding="utf-8"?>
<queryTable xmlns="http://schemas.openxmlformats.org/spreadsheetml/2006/main" name="16_06_97" connectionId="118" autoFormatId="16" applyNumberFormats="0" applyBorderFormats="0" applyFontFormats="0" applyPatternFormats="0" applyAlignmentFormats="0" applyWidthHeightFormats="0"/>
</file>

<file path=xl/queryTables/queryTable88.xml><?xml version="1.0" encoding="utf-8"?>
<queryTable xmlns="http://schemas.openxmlformats.org/spreadsheetml/2006/main" name="16_06_96" connectionId="188" autoFormatId="16" applyNumberFormats="0" applyBorderFormats="0" applyFontFormats="0" applyPatternFormats="0" applyAlignmentFormats="0" applyWidthHeightFormats="0"/>
</file>

<file path=xl/queryTables/queryTable89.xml><?xml version="1.0" encoding="utf-8"?>
<queryTable xmlns="http://schemas.openxmlformats.org/spreadsheetml/2006/main" name="16_06_73" connectionId="264" autoFormatId="16" applyNumberFormats="0" applyBorderFormats="0" applyFontFormats="0" applyPatternFormats="0" applyAlignmentFormats="0" applyWidthHeightFormats="0"/>
</file>

<file path=xl/queryTables/queryTable90.xml><?xml version="1.0" encoding="utf-8"?>
<queryTable xmlns="http://schemas.openxmlformats.org/spreadsheetml/2006/main" name="16_06_31" connectionId="56" autoFormatId="16" applyNumberFormats="0" applyBorderFormats="0" applyFontFormats="0" applyPatternFormats="0" applyAlignmentFormats="0" applyWidthHeightFormats="0"/>
</file>

<file path=xl/queryTables/queryTable91.xml><?xml version="1.0" encoding="utf-8"?>
<queryTable xmlns="http://schemas.openxmlformats.org/spreadsheetml/2006/main" name="16_06_224" connectionId="243" autoFormatId="16" applyNumberFormats="0" applyBorderFormats="0" applyFontFormats="0" applyPatternFormats="0" applyAlignmentFormats="0" applyWidthHeightFormats="0"/>
</file>

<file path=xl/queryTables/queryTable92.xml><?xml version="1.0" encoding="utf-8"?>
<queryTable xmlns="http://schemas.openxmlformats.org/spreadsheetml/2006/main" name="16_06_94" connectionId="138" autoFormatId="16" applyNumberFormats="0" applyBorderFormats="0" applyFontFormats="0" applyPatternFormats="0" applyAlignmentFormats="0" applyWidthHeightFormats="0"/>
</file>

<file path=xl/queryTables/queryTable93.xml><?xml version="1.0" encoding="utf-8"?>
<queryTable xmlns="http://schemas.openxmlformats.org/spreadsheetml/2006/main" name="16_06_251" connectionId="57" autoFormatId="16" applyNumberFormats="0" applyBorderFormats="0" applyFontFormats="0" applyPatternFormats="0" applyAlignmentFormats="0" applyWidthHeightFormats="0"/>
</file>

<file path=xl/queryTables/queryTable94.xml><?xml version="1.0" encoding="utf-8"?>
<queryTable xmlns="http://schemas.openxmlformats.org/spreadsheetml/2006/main" name="16_06_103" connectionId="275" autoFormatId="16" applyNumberFormats="0" applyBorderFormats="0" applyFontFormats="0" applyPatternFormats="0" applyAlignmentFormats="0" applyWidthHeightFormats="0"/>
</file>

<file path=xl/queryTables/queryTable95.xml><?xml version="1.0" encoding="utf-8"?>
<queryTable xmlns="http://schemas.openxmlformats.org/spreadsheetml/2006/main" name="16_06_70" connectionId="30" autoFormatId="16" applyNumberFormats="0" applyBorderFormats="0" applyFontFormats="0" applyPatternFormats="0" applyAlignmentFormats="0" applyWidthHeightFormats="0"/>
</file>

<file path=xl/queryTables/queryTable96.xml><?xml version="1.0" encoding="utf-8"?>
<queryTable xmlns="http://schemas.openxmlformats.org/spreadsheetml/2006/main" name="16_06_39" connectionId="48" autoFormatId="16" applyNumberFormats="0" applyBorderFormats="0" applyFontFormats="0" applyPatternFormats="0" applyAlignmentFormats="0" applyWidthHeightFormats="0"/>
</file>

<file path=xl/queryTables/queryTable97.xml><?xml version="1.0" encoding="utf-8"?>
<queryTable xmlns="http://schemas.openxmlformats.org/spreadsheetml/2006/main" name="16_06_236" connectionId="292" autoFormatId="16" applyNumberFormats="0" applyBorderFormats="0" applyFontFormats="0" applyPatternFormats="0" applyAlignmentFormats="0" applyWidthHeightFormats="0"/>
</file>

<file path=xl/queryTables/queryTable98.xml><?xml version="1.0" encoding="utf-8"?>
<queryTable xmlns="http://schemas.openxmlformats.org/spreadsheetml/2006/main" name="16_06_38" connectionId="460" autoFormatId="16" applyNumberFormats="0" applyBorderFormats="0" applyFontFormats="0" applyPatternFormats="0" applyAlignmentFormats="0" applyWidthHeightFormats="0"/>
</file>

<file path=xl/queryTables/queryTable99.xml><?xml version="1.0" encoding="utf-8"?>
<queryTable xmlns="http://schemas.openxmlformats.org/spreadsheetml/2006/main" name="16_06_83" connectionId="68" autoFormatId="16" applyNumberFormats="0" applyBorderFormats="0" applyFontFormats="0" applyPatternFormats="0" applyAlignmentFormats="0" applyWidthHeightFormats="0"/>
</file>

<file path=xl/queryTables/queryTable100.xml><?xml version="1.0" encoding="utf-8"?>
<queryTable xmlns="http://schemas.openxmlformats.org/spreadsheetml/2006/main" name="16_06_169" connectionId="313" autoFormatId="16" applyNumberFormats="0" applyBorderFormats="0" applyFontFormats="0" applyPatternFormats="0" applyAlignmentFormats="0" applyWidthHeightFormats="0"/>
</file>

<file path=xl/queryTables/queryTable101.xml><?xml version="1.0" encoding="utf-8"?>
<queryTable xmlns="http://schemas.openxmlformats.org/spreadsheetml/2006/main" name="16_06_72" connectionId="367" autoFormatId="16" applyNumberFormats="0" applyBorderFormats="0" applyFontFormats="0" applyPatternFormats="0" applyAlignmentFormats="0" applyWidthHeightFormats="0"/>
</file>

<file path=xl/queryTables/queryTable102.xml><?xml version="1.0" encoding="utf-8"?>
<queryTable xmlns="http://schemas.openxmlformats.org/spreadsheetml/2006/main" name="16_06_44" connectionId="82" autoFormatId="16" applyNumberFormats="0" applyBorderFormats="0" applyFontFormats="0" applyPatternFormats="0" applyAlignmentFormats="0" applyWidthHeightFormats="0"/>
</file>

<file path=xl/queryTables/queryTable103.xml><?xml version="1.0" encoding="utf-8"?>
<queryTable xmlns="http://schemas.openxmlformats.org/spreadsheetml/2006/main" name="16_06_47" connectionId="132" autoFormatId="16" applyNumberFormats="0" applyBorderFormats="0" applyFontFormats="0" applyPatternFormats="0" applyAlignmentFormats="0" applyWidthHeightFormats="0"/>
</file>

<file path=xl/queryTables/queryTable104.xml><?xml version="1.0" encoding="utf-8"?>
<queryTable xmlns="http://schemas.openxmlformats.org/spreadsheetml/2006/main" name="16_06_125" connectionId="418" autoFormatId="16" applyNumberFormats="0" applyBorderFormats="0" applyFontFormats="0" applyPatternFormats="0" applyAlignmentFormats="0" applyWidthHeightFormats="0"/>
</file>

<file path=xl/queryTables/queryTable105.xml><?xml version="1.0" encoding="utf-8"?>
<queryTable xmlns="http://schemas.openxmlformats.org/spreadsheetml/2006/main" name="16_06_153" connectionId="230" autoFormatId="16" applyNumberFormats="0" applyBorderFormats="0" applyFontFormats="0" applyPatternFormats="0" applyAlignmentFormats="0" applyWidthHeightFormats="0"/>
</file>

<file path=xl/queryTables/queryTable106.xml><?xml version="1.0" encoding="utf-8"?>
<queryTable xmlns="http://schemas.openxmlformats.org/spreadsheetml/2006/main" name="16_06_215" connectionId="126" autoFormatId="16" applyNumberFormats="0" applyBorderFormats="0" applyFontFormats="0" applyPatternFormats="0" applyAlignmentFormats="0" applyWidthHeightFormats="0"/>
</file>

<file path=xl/queryTables/queryTable107.xml><?xml version="1.0" encoding="utf-8"?>
<queryTable xmlns="http://schemas.openxmlformats.org/spreadsheetml/2006/main" name="16_06_182" connectionId="31" autoFormatId="16" applyNumberFormats="0" applyBorderFormats="0" applyFontFormats="0" applyPatternFormats="0" applyAlignmentFormats="0" applyWidthHeightFormats="0"/>
</file>

<file path=xl/queryTables/queryTable108.xml><?xml version="1.0" encoding="utf-8"?>
<queryTable xmlns="http://schemas.openxmlformats.org/spreadsheetml/2006/main" name="16_06_62" connectionId="249" autoFormatId="16" applyNumberFormats="0" applyBorderFormats="0" applyFontFormats="0" applyPatternFormats="0" applyAlignmentFormats="0" applyWidthHeightFormats="0"/>
</file>

<file path=xl/queryTables/queryTable109.xml><?xml version="1.0" encoding="utf-8"?>
<queryTable xmlns="http://schemas.openxmlformats.org/spreadsheetml/2006/main" name="16_06_101" connectionId="171" autoFormatId="16" applyNumberFormats="0" applyBorderFormats="0" applyFontFormats="0" applyPatternFormats="0" applyAlignmentFormats="0" applyWidthHeightFormats="0"/>
</file>

<file path=xl/queryTables/queryTable110.xml><?xml version="1.0" encoding="utf-8"?>
<queryTable xmlns="http://schemas.openxmlformats.org/spreadsheetml/2006/main" name="16_06_127" connectionId="448" autoFormatId="16" applyNumberFormats="0" applyBorderFormats="0" applyFontFormats="0" applyPatternFormats="0" applyAlignmentFormats="0" applyWidthHeightFormats="0"/>
</file>

<file path=xl/queryTables/queryTable111.xml><?xml version="1.0" encoding="utf-8"?>
<queryTable xmlns="http://schemas.openxmlformats.org/spreadsheetml/2006/main" name="16_06_197" connectionId="440" autoFormatId="16" applyNumberFormats="0" applyBorderFormats="0" applyFontFormats="0" applyPatternFormats="0" applyAlignmentFormats="0" applyWidthHeightFormats="0"/>
</file>

<file path=xl/queryTables/queryTable112.xml><?xml version="1.0" encoding="utf-8"?>
<queryTable xmlns="http://schemas.openxmlformats.org/spreadsheetml/2006/main" name="16_06_23" connectionId="11" autoFormatId="16" applyNumberFormats="0" applyBorderFormats="0" applyFontFormats="0" applyPatternFormats="0" applyAlignmentFormats="0" applyWidthHeightFormats="0"/>
</file>

<file path=xl/queryTables/queryTable113.xml><?xml version="1.0" encoding="utf-8"?>
<queryTable xmlns="http://schemas.openxmlformats.org/spreadsheetml/2006/main" name="16_06_87" connectionId="255" autoFormatId="16" applyNumberFormats="0" applyBorderFormats="0" applyFontFormats="0" applyPatternFormats="0" applyAlignmentFormats="0" applyWidthHeightFormats="0"/>
</file>

<file path=xl/queryTables/queryTable114.xml><?xml version="1.0" encoding="utf-8"?>
<queryTable xmlns="http://schemas.openxmlformats.org/spreadsheetml/2006/main" name="16_06_121" connectionId="267" autoFormatId="16" applyNumberFormats="0" applyBorderFormats="0" applyFontFormats="0" applyPatternFormats="0" applyAlignmentFormats="0" applyWidthHeightFormats="0"/>
</file>

<file path=xl/queryTables/queryTable115.xml><?xml version="1.0" encoding="utf-8"?>
<queryTable xmlns="http://schemas.openxmlformats.org/spreadsheetml/2006/main" name="16_06_32" connectionId="260" autoFormatId="16" applyNumberFormats="0" applyBorderFormats="0" applyFontFormats="0" applyPatternFormats="0" applyAlignmentFormats="0" applyWidthHeightFormats="0"/>
</file>

<file path=xl/queryTables/queryTable116.xml><?xml version="1.0" encoding="utf-8"?>
<queryTable xmlns="http://schemas.openxmlformats.org/spreadsheetml/2006/main" name="16_06_219" connectionId="432" autoFormatId="16" applyNumberFormats="0" applyBorderFormats="0" applyFontFormats="0" applyPatternFormats="0" applyAlignmentFormats="0" applyWidthHeightFormats="0"/>
</file>

<file path=xl/queryTables/queryTable117.xml><?xml version="1.0" encoding="utf-8"?>
<queryTable xmlns="http://schemas.openxmlformats.org/spreadsheetml/2006/main" name="16_06_194" connectionId="89" autoFormatId="16" applyNumberFormats="0" applyBorderFormats="0" applyFontFormats="0" applyPatternFormats="0" applyAlignmentFormats="0" applyWidthHeightFormats="0"/>
</file>

<file path=xl/queryTables/queryTable118.xml><?xml version="1.0" encoding="utf-8"?>
<queryTable xmlns="http://schemas.openxmlformats.org/spreadsheetml/2006/main" name="16_06_202" connectionId="446" autoFormatId="16" applyNumberFormats="0" applyBorderFormats="0" applyFontFormats="0" applyPatternFormats="0" applyAlignmentFormats="0" applyWidthHeightFormats="0"/>
</file>

<file path=xl/queryTables/queryTable119.xml><?xml version="1.0" encoding="utf-8"?>
<queryTable xmlns="http://schemas.openxmlformats.org/spreadsheetml/2006/main" name="16_06_152" connectionId="412" autoFormatId="16" applyNumberFormats="0" applyBorderFormats="0" applyFontFormats="0" applyPatternFormats="0" applyAlignmentFormats="0" applyWidthHeightFormats="0"/>
</file>

<file path=xl/queryTables/queryTable120.xml><?xml version="1.0" encoding="utf-8"?>
<queryTable xmlns="http://schemas.openxmlformats.org/spreadsheetml/2006/main" name="16_06_254" connectionId="262" autoFormatId="16" applyNumberFormats="0" applyBorderFormats="0" applyFontFormats="0" applyPatternFormats="0" applyAlignmentFormats="0" applyWidthHeightFormats="0"/>
</file>

<file path=xl/queryTables/queryTable121.xml><?xml version="1.0" encoding="utf-8"?>
<queryTable xmlns="http://schemas.openxmlformats.org/spreadsheetml/2006/main" name="16_06_181" connectionId="16" autoFormatId="16" applyNumberFormats="0" applyBorderFormats="0" applyFontFormats="0" applyPatternFormats="0" applyAlignmentFormats="0" applyWidthHeightFormats="0"/>
</file>

<file path=xl/queryTables/queryTable122.xml><?xml version="1.0" encoding="utf-8"?>
<queryTable xmlns="http://schemas.openxmlformats.org/spreadsheetml/2006/main" name="16_06_122" connectionId="215" autoFormatId="16" applyNumberFormats="0" applyBorderFormats="0" applyFontFormats="0" applyPatternFormats="0" applyAlignmentFormats="0" applyWidthHeightFormats="0"/>
</file>

<file path=xl/queryTables/queryTable123.xml><?xml version="1.0" encoding="utf-8"?>
<queryTable xmlns="http://schemas.openxmlformats.org/spreadsheetml/2006/main" name="16_06_213" connectionId="167" autoFormatId="16" applyNumberFormats="0" applyBorderFormats="0" applyFontFormats="0" applyPatternFormats="0" applyAlignmentFormats="0" applyWidthHeightFormats="0"/>
</file>

<file path=xl/queryTables/queryTable124.xml><?xml version="1.0" encoding="utf-8"?>
<queryTable xmlns="http://schemas.openxmlformats.org/spreadsheetml/2006/main" name="16_06_231" connectionId="368" autoFormatId="16" applyNumberFormats="0" applyBorderFormats="0" applyFontFormats="0" applyPatternFormats="0" applyAlignmentFormats="0" applyWidthHeightFormats="0"/>
</file>

<file path=xl/queryTables/queryTable125.xml><?xml version="1.0" encoding="utf-8"?>
<queryTable xmlns="http://schemas.openxmlformats.org/spreadsheetml/2006/main" name="16_06_156" connectionId="328" autoFormatId="16" applyNumberFormats="0" applyBorderFormats="0" applyFontFormats="0" applyPatternFormats="0" applyAlignmentFormats="0" applyWidthHeightFormats="0"/>
</file>

<file path=xl/queryTables/queryTable126.xml><?xml version="1.0" encoding="utf-8"?>
<queryTable xmlns="http://schemas.openxmlformats.org/spreadsheetml/2006/main" name="16_06_230" connectionId="63" autoFormatId="16" applyNumberFormats="0" applyBorderFormats="0" applyFontFormats="0" applyPatternFormats="0" applyAlignmentFormats="0" applyWidthHeightFormats="0"/>
</file>

<file path=xl/queryTables/queryTable127.xml><?xml version="1.0" encoding="utf-8"?>
<queryTable xmlns="http://schemas.openxmlformats.org/spreadsheetml/2006/main" name="16_06_46" connectionId="282" autoFormatId="16" applyNumberFormats="0" applyBorderFormats="0" applyFontFormats="0" applyPatternFormats="0" applyAlignmentFormats="0" applyWidthHeightFormats="0"/>
</file>

<file path=xl/queryTables/queryTable128.xml><?xml version="1.0" encoding="utf-8"?>
<queryTable xmlns="http://schemas.openxmlformats.org/spreadsheetml/2006/main" name="16_06_136" connectionId="163" autoFormatId="16" applyNumberFormats="0" applyBorderFormats="0" applyFontFormats="0" applyPatternFormats="0" applyAlignmentFormats="0" applyWidthHeightFormats="0"/>
</file>

<file path=xl/queryTables/queryTable129.xml><?xml version="1.0" encoding="utf-8"?>
<queryTable xmlns="http://schemas.openxmlformats.org/spreadsheetml/2006/main" name="16_06_61" connectionId="182" autoFormatId="16" applyNumberFormats="0" applyBorderFormats="0" applyFontFormats="0" applyPatternFormats="0" applyAlignmentFormats="0" applyWidthHeightFormats="0"/>
</file>

<file path=xl/queryTables/queryTable130.xml><?xml version="1.0" encoding="utf-8"?>
<queryTable xmlns="http://schemas.openxmlformats.org/spreadsheetml/2006/main" name="16_06_134" connectionId="427" autoFormatId="16" applyNumberFormats="0" applyBorderFormats="0" applyFontFormats="0" applyPatternFormats="0" applyAlignmentFormats="0" applyWidthHeightFormats="0"/>
</file>

<file path=xl/queryTables/queryTable131.xml><?xml version="1.0" encoding="utf-8"?>
<queryTable xmlns="http://schemas.openxmlformats.org/spreadsheetml/2006/main" name="16_06_24" connectionId="261" autoFormatId="16" applyNumberFormats="0" applyBorderFormats="0" applyFontFormats="0" applyPatternFormats="0" applyAlignmentFormats="0" applyWidthHeightFormats="0"/>
</file>

<file path=xl/queryTables/queryTable132.xml><?xml version="1.0" encoding="utf-8"?>
<queryTable xmlns="http://schemas.openxmlformats.org/spreadsheetml/2006/main" name="16_06_130" connectionId="362" autoFormatId="16" applyNumberFormats="0" applyBorderFormats="0" applyFontFormats="0" applyPatternFormats="0" applyAlignmentFormats="0" applyWidthHeightFormats="0"/>
</file>

<file path=xl/queryTables/queryTable133.xml><?xml version="1.0" encoding="utf-8"?>
<queryTable xmlns="http://schemas.openxmlformats.org/spreadsheetml/2006/main" name="16_06_232" connectionId="74" autoFormatId="16" applyNumberFormats="0" applyBorderFormats="0" applyFontFormats="0" applyPatternFormats="0" applyAlignmentFormats="0" applyWidthHeightFormats="0"/>
</file>

<file path=xl/queryTables/queryTable134.xml><?xml version="1.0" encoding="utf-8"?>
<queryTable xmlns="http://schemas.openxmlformats.org/spreadsheetml/2006/main" name="16_06_84" connectionId="218" autoFormatId="16" applyNumberFormats="0" applyBorderFormats="0" applyFontFormats="0" applyPatternFormats="0" applyAlignmentFormats="0" applyWidthHeightFormats="0"/>
</file>

<file path=xl/queryTables/queryTable135.xml><?xml version="1.0" encoding="utf-8"?>
<queryTable xmlns="http://schemas.openxmlformats.org/spreadsheetml/2006/main" name="16_06_186" connectionId="338" autoFormatId="16" applyNumberFormats="0" applyBorderFormats="0" applyFontFormats="0" applyPatternFormats="0" applyAlignmentFormats="0" applyWidthHeightFormats="0"/>
</file>

<file path=xl/queryTables/queryTable136.xml><?xml version="1.0" encoding="utf-8"?>
<queryTable xmlns="http://schemas.openxmlformats.org/spreadsheetml/2006/main" name="16_06_216" connectionId="374" autoFormatId="16" applyNumberFormats="0" applyBorderFormats="0" applyFontFormats="0" applyPatternFormats="0" applyAlignmentFormats="0" applyWidthHeightFormats="0"/>
</file>

<file path=xl/queryTables/queryTable137.xml><?xml version="1.0" encoding="utf-8"?>
<queryTable xmlns="http://schemas.openxmlformats.org/spreadsheetml/2006/main" name="16_06_159" connectionId="434" autoFormatId="16" applyNumberFormats="0" applyBorderFormats="0" applyFontFormats="0" applyPatternFormats="0" applyAlignmentFormats="0" applyWidthHeightFormats="0"/>
</file>

<file path=xl/queryTables/queryTable138.xml><?xml version="1.0" encoding="utf-8"?>
<queryTable xmlns="http://schemas.openxmlformats.org/spreadsheetml/2006/main" name="16_06_203" connectionId="23" autoFormatId="16" applyNumberFormats="0" applyBorderFormats="0" applyFontFormats="0" applyPatternFormats="0" applyAlignmentFormats="0" applyWidthHeightFormats="0"/>
</file>

<file path=xl/queryTables/queryTable139.xml><?xml version="1.0" encoding="utf-8"?>
<queryTable xmlns="http://schemas.openxmlformats.org/spreadsheetml/2006/main" name="16_06_241" connectionId="225" autoFormatId="16" applyNumberFormats="0" applyBorderFormats="0" applyFontFormats="0" applyPatternFormats="0" applyAlignmentFormats="0" applyWidthHeightFormats="0"/>
</file>

<file path=xl/queryTables/queryTable140.xml><?xml version="1.0" encoding="utf-8"?>
<queryTable xmlns="http://schemas.openxmlformats.org/spreadsheetml/2006/main" name="16_06_93" connectionId="88" autoFormatId="16" applyNumberFormats="0" applyBorderFormats="0" applyFontFormats="0" applyPatternFormats="0" applyAlignmentFormats="0" applyWidthHeightFormats="0"/>
</file>

<file path=xl/queryTables/queryTable141.xml><?xml version="1.0" encoding="utf-8"?>
<queryTable xmlns="http://schemas.openxmlformats.org/spreadsheetml/2006/main" name="16_06_189" connectionId="133" autoFormatId="16" applyNumberFormats="0" applyBorderFormats="0" applyFontFormats="0" applyPatternFormats="0" applyAlignmentFormats="0" applyWidthHeightFormats="0"/>
</file>

<file path=xl/queryTables/queryTable142.xml><?xml version="1.0" encoding="utf-8"?>
<queryTable xmlns="http://schemas.openxmlformats.org/spreadsheetml/2006/main" name="16_06_147" connectionId="33" autoFormatId="16" applyNumberFormats="0" applyBorderFormats="0" applyFontFormats="0" applyPatternFormats="0" applyAlignmentFormats="0" applyWidthHeightFormats="0"/>
</file>

<file path=xl/queryTables/queryTable143.xml><?xml version="1.0" encoding="utf-8"?>
<queryTable xmlns="http://schemas.openxmlformats.org/spreadsheetml/2006/main" name="16_06_89" connectionId="36" autoFormatId="16" applyNumberFormats="0" applyBorderFormats="0" applyFontFormats="0" applyPatternFormats="0" applyAlignmentFormats="0" applyWidthHeightFormats="0"/>
</file>

<file path=xl/queryTables/queryTable144.xml><?xml version="1.0" encoding="utf-8"?>
<queryTable xmlns="http://schemas.openxmlformats.org/spreadsheetml/2006/main" name="16_06_151" connectionId="121" autoFormatId="16" applyNumberFormats="0" applyBorderFormats="0" applyFontFormats="0" applyPatternFormats="0" applyAlignmentFormats="0" applyWidthHeightFormats="0"/>
</file>

<file path=xl/queryTables/queryTable145.xml><?xml version="1.0" encoding="utf-8"?>
<queryTable xmlns="http://schemas.openxmlformats.org/spreadsheetml/2006/main" name="16_06_252" connectionId="280" autoFormatId="16" applyNumberFormats="0" applyBorderFormats="0" applyFontFormats="0" applyPatternFormats="0" applyAlignmentFormats="0" applyWidthHeightFormats="0"/>
</file>

<file path=xl/queryTables/queryTable146.xml><?xml version="1.0" encoding="utf-8"?>
<queryTable xmlns="http://schemas.openxmlformats.org/spreadsheetml/2006/main" name="16_06_261" connectionId="9" autoFormatId="16" applyNumberFormats="0" applyBorderFormats="0" applyFontFormats="0" applyPatternFormats="0" applyAlignmentFormats="0" applyWidthHeightFormats="0"/>
</file>

<file path=xl/queryTables/queryTable147.xml><?xml version="1.0" encoding="utf-8"?>
<queryTable xmlns="http://schemas.openxmlformats.org/spreadsheetml/2006/main" name="16_06_179" connectionId="189" autoFormatId="16" applyNumberFormats="0" applyBorderFormats="0" applyFontFormats="0" applyPatternFormats="0" applyAlignmentFormats="0" applyWidthHeightFormats="0"/>
</file>

<file path=xl/queryTables/queryTable148.xml><?xml version="1.0" encoding="utf-8"?>
<queryTable xmlns="http://schemas.openxmlformats.org/spreadsheetml/2006/main" name="16_06_98" connectionId="73" autoFormatId="16" applyNumberFormats="0" applyBorderFormats="0" applyFontFormats="0" applyPatternFormats="0" applyAlignmentFormats="0" applyWidthHeightFormats="0"/>
</file>

<file path=xl/queryTables/queryTable149.xml><?xml version="1.0" encoding="utf-8"?>
<queryTable xmlns="http://schemas.openxmlformats.org/spreadsheetml/2006/main" name="16_06_81" connectionId="270" autoFormatId="16" applyNumberFormats="0" applyBorderFormats="0" applyFontFormats="0" applyPatternFormats="0" applyAlignmentFormats="0" applyWidthHeightFormats="0"/>
</file>

<file path=xl/queryTables/queryTable150.xml><?xml version="1.0" encoding="utf-8"?>
<queryTable xmlns="http://schemas.openxmlformats.org/spreadsheetml/2006/main" name="16_06_28" connectionId="193" autoFormatId="16" applyNumberFormats="0" applyBorderFormats="0" applyFontFormats="0" applyPatternFormats="0" applyAlignmentFormats="0" applyWidthHeightFormats="0"/>
</file>

<file path=xl/queryTables/queryTable151.xml><?xml version="1.0" encoding="utf-8"?>
<queryTable xmlns="http://schemas.openxmlformats.org/spreadsheetml/2006/main" name="16_06_57" connectionId="424" autoFormatId="16" applyNumberFormats="0" applyBorderFormats="0" applyFontFormats="0" applyPatternFormats="0" applyAlignmentFormats="0" applyWidthHeightFormats="0"/>
</file>

<file path=xl/queryTables/queryTable152.xml><?xml version="1.0" encoding="utf-8"?>
<queryTable xmlns="http://schemas.openxmlformats.org/spreadsheetml/2006/main" name="16_06_238" connectionId="466" autoFormatId="16" applyNumberFormats="0" applyBorderFormats="0" applyFontFormats="0" applyPatternFormats="0" applyAlignmentFormats="0" applyWidthHeightFormats="0"/>
</file>

<file path=xl/queryTables/queryTable153.xml><?xml version="1.0" encoding="utf-8"?>
<queryTable xmlns="http://schemas.openxmlformats.org/spreadsheetml/2006/main" name="16_06_141" connectionId="252" autoFormatId="16" applyNumberFormats="0" applyBorderFormats="0" applyFontFormats="0" applyPatternFormats="0" applyAlignmentFormats="0" applyWidthHeightFormats="0"/>
</file>

<file path=xl/queryTables/queryTable154.xml><?xml version="1.0" encoding="utf-8"?>
<queryTable xmlns="http://schemas.openxmlformats.org/spreadsheetml/2006/main" name="16_06_100" connectionId="238" autoFormatId="16" applyNumberFormats="0" applyBorderFormats="0" applyFontFormats="0" applyPatternFormats="0" applyAlignmentFormats="0" applyWidthHeightFormats="0"/>
</file>

<file path=xl/queryTables/queryTable155.xml><?xml version="1.0" encoding="utf-8"?>
<queryTable xmlns="http://schemas.openxmlformats.org/spreadsheetml/2006/main" name="16_06_157" connectionId="405" autoFormatId="16" applyNumberFormats="0" applyBorderFormats="0" applyFontFormats="0" applyPatternFormats="0" applyAlignmentFormats="0" applyWidthHeightFormats="0"/>
</file>

<file path=xl/queryTables/queryTable156.xml><?xml version="1.0" encoding="utf-8"?>
<queryTable xmlns="http://schemas.openxmlformats.org/spreadsheetml/2006/main" name="16_06_174" connectionId="146" autoFormatId="16" applyNumberFormats="0" applyBorderFormats="0" applyFontFormats="0" applyPatternFormats="0" applyAlignmentFormats="0" applyWidthHeightFormats="0"/>
</file>

<file path=xl/queryTables/queryTable157.xml><?xml version="1.0" encoding="utf-8"?>
<queryTable xmlns="http://schemas.openxmlformats.org/spreadsheetml/2006/main" name="16_06_126" connectionId="25" autoFormatId="16" applyNumberFormats="0" applyBorderFormats="0" applyFontFormats="0" applyPatternFormats="0" applyAlignmentFormats="0" applyWidthHeightFormats="0"/>
</file>

<file path=xl/queryTables/queryTable158.xml><?xml version="1.0" encoding="utf-8"?>
<queryTable xmlns="http://schemas.openxmlformats.org/spreadsheetml/2006/main" name="16_06_178" connectionId="119" autoFormatId="16" applyNumberFormats="0" applyBorderFormats="0" applyFontFormats="0" applyPatternFormats="0" applyAlignmentFormats="0" applyWidthHeightFormats="0"/>
</file>

<file path=xl/queryTables/queryTable159.xml><?xml version="1.0" encoding="utf-8"?>
<queryTable xmlns="http://schemas.openxmlformats.org/spreadsheetml/2006/main" name="16_06_217" connectionId="219" autoFormatId="16" applyNumberFormats="0" applyBorderFormats="0" applyFontFormats="0" applyPatternFormats="0" applyAlignmentFormats="0" applyWidthHeightFormats="0"/>
</file>

<file path=xl/queryTables/queryTable160.xml><?xml version="1.0" encoding="utf-8"?>
<queryTable xmlns="http://schemas.openxmlformats.org/spreadsheetml/2006/main" name="16_06_49" connectionId="359" autoFormatId="16" applyNumberFormats="0" applyBorderFormats="0" applyFontFormats="0" applyPatternFormats="0" applyAlignmentFormats="0" applyWidthHeightFormats="0"/>
</file>

<file path=xl/queryTables/queryTable161.xml><?xml version="1.0" encoding="utf-8"?>
<queryTable xmlns="http://schemas.openxmlformats.org/spreadsheetml/2006/main" name="16_06_50" connectionId="402" autoFormatId="16" applyNumberFormats="0" applyBorderFormats="0" applyFontFormats="0" applyPatternFormats="0" applyAlignmentFormats="0" applyWidthHeightFormats="0"/>
</file>

<file path=xl/queryTables/queryTable162.xml><?xml version="1.0" encoding="utf-8"?>
<queryTable xmlns="http://schemas.openxmlformats.org/spreadsheetml/2006/main" name="16_06_117" connectionId="258" autoFormatId="16" applyNumberFormats="0" applyBorderFormats="0" applyFontFormats="0" applyPatternFormats="0" applyAlignmentFormats="0" applyWidthHeightFormats="0"/>
</file>

<file path=xl/queryTables/queryTable163.xml><?xml version="1.0" encoding="utf-8"?>
<queryTable xmlns="http://schemas.openxmlformats.org/spreadsheetml/2006/main" name="16_06_155" connectionId="148" autoFormatId="16" applyNumberFormats="0" applyBorderFormats="0" applyFontFormats="0" applyPatternFormats="0" applyAlignmentFormats="0" applyWidthHeightFormats="0"/>
</file>

<file path=xl/queryTables/queryTable164.xml><?xml version="1.0" encoding="utf-8"?>
<queryTable xmlns="http://schemas.openxmlformats.org/spreadsheetml/2006/main" name="16_06_229" connectionId="311" autoFormatId="16" applyNumberFormats="0" applyBorderFormats="0" applyFontFormats="0" applyPatternFormats="0" applyAlignmentFormats="0" applyWidthHeightFormats="0"/>
</file>

<file path=xl/queryTables/queryTable165.xml><?xml version="1.0" encoding="utf-8"?>
<queryTable xmlns="http://schemas.openxmlformats.org/spreadsheetml/2006/main" name="1317755739475482419-13_07_25" connectionId="2" autoFormatId="16" applyNumberFormats="0" applyBorderFormats="0" applyFontFormats="0" applyPatternFormats="0" applyAlignmentFormats="0" applyWidthHeightFormats="0"/>
</file>

<file path=xl/queryTables/queryTable166.xml><?xml version="1.0" encoding="utf-8"?>
<queryTable xmlns="http://schemas.openxmlformats.org/spreadsheetml/2006/main" name="16_06_131" connectionId="207" autoFormatId="16" applyNumberFormats="0" applyBorderFormats="0" applyFontFormats="0" applyPatternFormats="0" applyAlignmentFormats="0" applyWidthHeightFormats="0"/>
</file>

<file path=xl/queryTables/queryTable167.xml><?xml version="1.0" encoding="utf-8"?>
<queryTable xmlns="http://schemas.openxmlformats.org/spreadsheetml/2006/main" name="16_06_162" connectionId="457" autoFormatId="16" applyNumberFormats="0" applyBorderFormats="0" applyFontFormats="0" applyPatternFormats="0" applyAlignmentFormats="0" applyWidthHeightFormats="0"/>
</file>

<file path=xl/queryTables/queryTable168.xml><?xml version="1.0" encoding="utf-8"?>
<queryTable xmlns="http://schemas.openxmlformats.org/spreadsheetml/2006/main" name="16_06_86" connectionId="166" autoFormatId="16" applyNumberFormats="0" applyBorderFormats="0" applyFontFormats="0" applyPatternFormats="0" applyAlignmentFormats="0" applyWidthHeightFormats="0"/>
</file>

<file path=xl/queryTables/queryTable169.xml><?xml version="1.0" encoding="utf-8"?>
<queryTable xmlns="http://schemas.openxmlformats.org/spreadsheetml/2006/main" name="16_06_145" connectionId="355" autoFormatId="16" applyNumberFormats="0" applyBorderFormats="0" applyFontFormats="0" applyPatternFormats="0" applyAlignmentFormats="0" applyWidthHeightFormats="0"/>
</file>

<file path=xl/queryTables/queryTable170.xml><?xml version="1.0" encoding="utf-8"?>
<queryTable xmlns="http://schemas.openxmlformats.org/spreadsheetml/2006/main" name="16_06_242" connectionId="79" autoFormatId="16" applyNumberFormats="0" applyBorderFormats="0" applyFontFormats="0" applyPatternFormats="0" applyAlignmentFormats="0" applyWidthHeightFormats="0"/>
</file>

<file path=xl/queryTables/queryTable171.xml><?xml version="1.0" encoding="utf-8"?>
<queryTable xmlns="http://schemas.openxmlformats.org/spreadsheetml/2006/main" name="16_06_41" connectionId="233" autoFormatId="16" applyNumberFormats="0" applyBorderFormats="0" applyFontFormats="0" applyPatternFormats="0" applyAlignmentFormats="0" applyWidthHeightFormats="0"/>
</file>

<file path=xl/queryTables/queryTable172.xml><?xml version="1.0" encoding="utf-8"?>
<queryTable xmlns="http://schemas.openxmlformats.org/spreadsheetml/2006/main" name="16_06_226" connectionId="271" autoFormatId="16" applyNumberFormats="0" applyBorderFormats="0" applyFontFormats="0" applyPatternFormats="0" applyAlignmentFormats="0" applyWidthHeightFormats="0"/>
</file>

<file path=xl/queryTables/queryTable173.xml><?xml version="1.0" encoding="utf-8"?>
<queryTable xmlns="http://schemas.openxmlformats.org/spreadsheetml/2006/main" name="16_06_183" connectionId="318" autoFormatId="16" applyNumberFormats="0" applyBorderFormats="0" applyFontFormats="0" applyPatternFormats="0" applyAlignmentFormats="0" applyWidthHeightFormats="0"/>
</file>

<file path=xl/queryTables/queryTable174.xml><?xml version="1.0" encoding="utf-8"?>
<queryTable xmlns="http://schemas.openxmlformats.org/spreadsheetml/2006/main" name="16_06_40" connectionId="343" autoFormatId="16" applyNumberFormats="0" applyBorderFormats="0" applyFontFormats="0" applyPatternFormats="0" applyAlignmentFormats="0" applyWidthHeightFormats="0"/>
</file>

<file path=xl/queryTables/queryTable175.xml><?xml version="1.0" encoding="utf-8"?>
<queryTable xmlns="http://schemas.openxmlformats.org/spreadsheetml/2006/main" name="16_06_71" connectionId="439" autoFormatId="16" applyNumberFormats="0" applyBorderFormats="0" applyFontFormats="0" applyPatternFormats="0" applyAlignmentFormats="0" applyWidthHeightFormats="0"/>
</file>

<file path=xl/queryTables/queryTable176.xml><?xml version="1.0" encoding="utf-8"?>
<queryTable xmlns="http://schemas.openxmlformats.org/spreadsheetml/2006/main" name="16_06_172" connectionId="403" autoFormatId="16" applyNumberFormats="0" applyBorderFormats="0" applyFontFormats="0" applyPatternFormats="0" applyAlignmentFormats="0" applyWidthHeightFormats="0"/>
</file>

<file path=xl/queryTables/queryTable177.xml><?xml version="1.0" encoding="utf-8"?>
<queryTable xmlns="http://schemas.openxmlformats.org/spreadsheetml/2006/main" name="16_06_75" connectionId="431" autoFormatId="16" applyNumberFormats="0" applyBorderFormats="0" applyFontFormats="0" applyPatternFormats="0" applyAlignmentFormats="0" applyWidthHeightFormats="0"/>
</file>

<file path=xl/queryTables/queryTable178.xml><?xml version="1.0" encoding="utf-8"?>
<queryTable xmlns="http://schemas.openxmlformats.org/spreadsheetml/2006/main" name="16_06_255" connectionId="290" autoFormatId="16" applyNumberFormats="0" applyBorderFormats="0" applyFontFormats="0" applyPatternFormats="0" applyAlignmentFormats="0" applyWidthHeightFormats="0"/>
</file>

<file path=xl/queryTables/queryTable179.xml><?xml version="1.0" encoding="utf-8"?>
<queryTable xmlns="http://schemas.openxmlformats.org/spreadsheetml/2006/main" name="16_06_35" connectionId="76" autoFormatId="16" applyNumberFormats="0" applyBorderFormats="0" applyFontFormats="0" applyPatternFormats="0" applyAlignmentFormats="0" applyWidthHeightFormats="0"/>
</file>

<file path=xl/queryTables/queryTable180.xml><?xml version="1.0" encoding="utf-8"?>
<queryTable xmlns="http://schemas.openxmlformats.org/spreadsheetml/2006/main" name="16_06_200" connectionId="83" autoFormatId="16" applyNumberFormats="0" applyBorderFormats="0" applyFontFormats="0" applyPatternFormats="0" applyAlignmentFormats="0" applyWidthHeightFormats="0"/>
</file>

<file path=xl/queryTables/queryTable181.xml><?xml version="1.0" encoding="utf-8"?>
<queryTable xmlns="http://schemas.openxmlformats.org/spreadsheetml/2006/main" name="16_06_201" connectionId="332" autoFormatId="16" applyNumberFormats="0" applyBorderFormats="0" applyFontFormats="0" applyPatternFormats="0" applyAlignmentFormats="0" applyWidthHeightFormats="0"/>
</file>

<file path=xl/queryTables/queryTable182.xml><?xml version="1.0" encoding="utf-8"?>
<queryTable xmlns="http://schemas.openxmlformats.org/spreadsheetml/2006/main" name="16_06_144" connectionId="298" autoFormatId="16" applyNumberFormats="0" applyBorderFormats="0" applyFontFormats="0" applyPatternFormats="0" applyAlignmentFormats="0" applyWidthHeightFormats="0"/>
</file>

<file path=xl/queryTables/queryTable183.xml><?xml version="1.0" encoding="utf-8"?>
<queryTable xmlns="http://schemas.openxmlformats.org/spreadsheetml/2006/main" name="16_06_212" connectionId="256" autoFormatId="16" applyNumberFormats="0" applyBorderFormats="0" applyFontFormats="0" applyPatternFormats="0" applyAlignmentFormats="0" applyWidthHeightFormats="0"/>
</file>

<file path=xl/queryTables/queryTable184.xml><?xml version="1.0" encoding="utf-8"?>
<queryTable xmlns="http://schemas.openxmlformats.org/spreadsheetml/2006/main" name="16_06_218" connectionId="69" autoFormatId="16" applyNumberFormats="0" applyBorderFormats="0" applyFontFormats="0" applyPatternFormats="0" applyAlignmentFormats="0" applyWidthHeightFormats="0"/>
</file>

<file path=xl/queryTables/queryTable185.xml><?xml version="1.0" encoding="utf-8"?>
<queryTable xmlns="http://schemas.openxmlformats.org/spreadsheetml/2006/main" name="16_06_109" connectionId="93" autoFormatId="16" applyNumberFormats="0" applyBorderFormats="0" applyFontFormats="0" applyPatternFormats="0" applyAlignmentFormats="0" applyWidthHeightFormats="0"/>
</file>

<file path=xl/queryTables/queryTable186.xml><?xml version="1.0" encoding="utf-8"?>
<queryTable xmlns="http://schemas.openxmlformats.org/spreadsheetml/2006/main" name="16_06_205" connectionId="37" autoFormatId="16" applyNumberFormats="0" applyBorderFormats="0" applyFontFormats="0" applyPatternFormats="0" applyAlignmentFormats="0" applyWidthHeightFormats="0"/>
</file>

<file path=xl/queryTables/queryTable187.xml><?xml version="1.0" encoding="utf-8"?>
<queryTable xmlns="http://schemas.openxmlformats.org/spreadsheetml/2006/main" name="16_06_211" connectionId="283" autoFormatId="16" applyNumberFormats="0" applyBorderFormats="0" applyFontFormats="0" applyPatternFormats="0" applyAlignmentFormats="0" applyWidthHeightFormats="0"/>
</file>

<file path=xl/queryTables/queryTable188.xml><?xml version="1.0" encoding="utf-8"?>
<queryTable xmlns="http://schemas.openxmlformats.org/spreadsheetml/2006/main" name="16_06_175" connectionId="183" autoFormatId="16" applyNumberFormats="0" applyBorderFormats="0" applyFontFormats="0" applyPatternFormats="0" applyAlignmentFormats="0" applyWidthHeightFormats="0"/>
</file>

<file path=xl/queryTables/queryTable189.xml><?xml version="1.0" encoding="utf-8"?>
<queryTable xmlns="http://schemas.openxmlformats.org/spreadsheetml/2006/main" name="16_06_102" connectionId="291" autoFormatId="16" applyNumberFormats="0" applyBorderFormats="0" applyFontFormats="0" applyPatternFormats="0" applyAlignmentFormats="0" applyWidthHeightFormats="0"/>
</file>

<file path=xl/queryTables/queryTable190.xml><?xml version="1.0" encoding="utf-8"?>
<queryTable xmlns="http://schemas.openxmlformats.org/spreadsheetml/2006/main" name="16_06_253" connectionId="450" autoFormatId="16" applyNumberFormats="0" applyBorderFormats="0" applyFontFormats="0" applyPatternFormats="0" applyAlignmentFormats="0" applyWidthHeightFormats="0"/>
</file>

<file path=xl/queryTables/queryTable191.xml><?xml version="1.0" encoding="utf-8"?>
<queryTable xmlns="http://schemas.openxmlformats.org/spreadsheetml/2006/main" name="16_06_237" connectionId="276" autoFormatId="16" applyNumberFormats="0" applyBorderFormats="0" applyFontFormats="0" applyPatternFormats="0" applyAlignmentFormats="0" applyWidthHeightFormats="0"/>
</file>

<file path=xl/queryTables/queryTable192.xml><?xml version="1.0" encoding="utf-8"?>
<queryTable xmlns="http://schemas.openxmlformats.org/spreadsheetml/2006/main" name="16_06_176" connectionId="228" autoFormatId="16" applyNumberFormats="0" applyBorderFormats="0" applyFontFormats="0" applyPatternFormats="0" applyAlignmentFormats="0" applyWidthHeightFormats="0"/>
</file>

<file path=xl/queryTables/queryTable193.xml><?xml version="1.0" encoding="utf-8"?>
<queryTable xmlns="http://schemas.openxmlformats.org/spreadsheetml/2006/main" name="16_06_207" connectionId="213" autoFormatId="16" applyNumberFormats="0" applyBorderFormats="0" applyFontFormats="0" applyPatternFormats="0" applyAlignmentFormats="0" applyWidthHeightFormats="0"/>
</file>

<file path=xl/queryTables/queryTable194.xml><?xml version="1.0" encoding="utf-8"?>
<queryTable xmlns="http://schemas.openxmlformats.org/spreadsheetml/2006/main" name="16_06_220" connectionId="98" autoFormatId="16" applyNumberFormats="0" applyBorderFormats="0" applyFontFormats="0" applyPatternFormats="0" applyAlignmentFormats="0" applyWidthHeightFormats="0"/>
</file>

<file path=xl/queryTables/queryTable195.xml><?xml version="1.0" encoding="utf-8"?>
<queryTable xmlns="http://schemas.openxmlformats.org/spreadsheetml/2006/main" name="16_06_112" connectionId="221" autoFormatId="16" applyNumberFormats="0" applyBorderFormats="0" applyFontFormats="0" applyPatternFormats="0" applyAlignmentFormats="0" applyWidthHeightFormats="0"/>
</file>

<file path=xl/queryTables/queryTable196.xml><?xml version="1.0" encoding="utf-8"?>
<queryTable xmlns="http://schemas.openxmlformats.org/spreadsheetml/2006/main" name="16_06_45" connectionId="227" autoFormatId="16" applyNumberFormats="0" applyBorderFormats="0" applyFontFormats="0" applyPatternFormats="0" applyAlignmentFormats="0" applyWidthHeightFormats="0"/>
</file>

<file path=xl/queryTables/queryTable197.xml><?xml version="1.0" encoding="utf-8"?>
<queryTable xmlns="http://schemas.openxmlformats.org/spreadsheetml/2006/main" name="16_06_90" connectionId="415" autoFormatId="16" applyNumberFormats="0" applyBorderFormats="0" applyFontFormats="0" applyPatternFormats="0" applyAlignmentFormats="0" applyWidthHeightFormats="0"/>
</file>

<file path=xl/queryTables/queryTable198.xml><?xml version="1.0" encoding="utf-8"?>
<queryTable xmlns="http://schemas.openxmlformats.org/spreadsheetml/2006/main" name="16_06_208" connectionId="265" autoFormatId="16" applyNumberFormats="0" applyBorderFormats="0" applyFontFormats="0" applyPatternFormats="0" applyAlignmentFormats="0" applyWidthHeightFormats="0"/>
</file>

<file path=xl/queryTables/queryTable199.xml><?xml version="1.0" encoding="utf-8"?>
<queryTable xmlns="http://schemas.openxmlformats.org/spreadsheetml/2006/main" name="16_06_53" connectionId="153" autoFormatId="16" applyNumberFormats="0" applyBorderFormats="0" applyFontFormats="0" applyPatternFormats="0" applyAlignmentFormats="0" applyWidthHeightFormats="0"/>
</file>

<file path=xl/queryTables/queryTable200.xml><?xml version="1.0" encoding="utf-8"?>
<queryTable xmlns="http://schemas.openxmlformats.org/spreadsheetml/2006/main" name="16_06_192" connectionId="139" autoFormatId="16" applyNumberFormats="0" applyBorderFormats="0" applyFontFormats="0" applyPatternFormats="0" applyAlignmentFormats="0" applyWidthHeightFormats="0"/>
</file>

<file path=xl/queryTables/queryTable201.xml><?xml version="1.0" encoding="utf-8"?>
<queryTable xmlns="http://schemas.openxmlformats.org/spreadsheetml/2006/main" name="16_06_193" connectionId="161" autoFormatId="16" applyNumberFormats="0" applyBorderFormats="0" applyFontFormats="0" applyPatternFormats="0" applyAlignmentFormats="0" applyWidthHeightFormats="0"/>
</file>

<file path=xl/queryTables/queryTable202.xml><?xml version="1.0" encoding="utf-8"?>
<queryTable xmlns="http://schemas.openxmlformats.org/spreadsheetml/2006/main" name="16_06_250" connectionId="421" autoFormatId="16" applyNumberFormats="0" applyBorderFormats="0" applyFontFormats="0" applyPatternFormats="0" applyAlignmentFormats="0" applyWidthHeightFormats="0"/>
</file>

<file path=xl/queryTables/queryTable203.xml><?xml version="1.0" encoding="utf-8"?>
<queryTable xmlns="http://schemas.openxmlformats.org/spreadsheetml/2006/main" name="16_06_206" connectionId="388" autoFormatId="16" applyNumberFormats="0" applyBorderFormats="0" applyFontFormats="0" applyPatternFormats="0" applyAlignmentFormats="0" applyWidthHeightFormats="0"/>
</file>

<file path=xl/queryTables/queryTable204.xml><?xml version="1.0" encoding="utf-8"?>
<queryTable xmlns="http://schemas.openxmlformats.org/spreadsheetml/2006/main" name="16_06_239" connectionId="452" autoFormatId="16" applyNumberFormats="0" applyBorderFormats="0" applyFontFormats="0" applyPatternFormats="0" applyAlignmentFormats="0" applyWidthHeightFormats="0"/>
</file>

<file path=xl/queryTables/queryTable205.xml><?xml version="1.0" encoding="utf-8"?>
<queryTable xmlns="http://schemas.openxmlformats.org/spreadsheetml/2006/main" name="16_06_54" connectionId="15" autoFormatId="16" applyNumberFormats="0" applyBorderFormats="0" applyFontFormats="0" applyPatternFormats="0" applyAlignmentFormats="0" applyWidthHeightFormats="0"/>
</file>

<file path=xl/queryTables/queryTable206.xml><?xml version="1.0" encoding="utf-8"?>
<queryTable xmlns="http://schemas.openxmlformats.org/spreadsheetml/2006/main" name="16_06_106" connectionId="348" autoFormatId="16" applyNumberFormats="0" applyBorderFormats="0" applyFontFormats="0" applyPatternFormats="0" applyAlignmentFormats="0" applyWidthHeightFormats="0"/>
</file>

<file path=xl/queryTables/queryTable207.xml><?xml version="1.0" encoding="utf-8"?>
<queryTable xmlns="http://schemas.openxmlformats.org/spreadsheetml/2006/main" name="16_06_120" connectionId="200" autoFormatId="16" applyNumberFormats="0" applyBorderFormats="0" applyFontFormats="0" applyPatternFormats="0" applyAlignmentFormats="0" applyWidthHeightFormats="0"/>
</file>

<file path=xl/queryTables/queryTable208.xml><?xml version="1.0" encoding="utf-8"?>
<queryTable xmlns="http://schemas.openxmlformats.org/spreadsheetml/2006/main" name="16_06_105" connectionId="451" autoFormatId="16" applyNumberFormats="0" applyBorderFormats="0" applyFontFormats="0" applyPatternFormats="0" applyAlignmentFormats="0" applyWidthHeightFormats="0"/>
</file>

<file path=xl/queryTables/queryTable209.xml><?xml version="1.0" encoding="utf-8"?>
<queryTable xmlns="http://schemas.openxmlformats.org/spreadsheetml/2006/main" name="16_06_107" connectionId="224" autoFormatId="16" applyNumberFormats="0" applyBorderFormats="0" applyFontFormats="0" applyPatternFormats="0" applyAlignmentFormats="0" applyWidthHeightFormats="0"/>
</file>

<file path=xl/queryTables/queryTable210.xml><?xml version="1.0" encoding="utf-8"?>
<queryTable xmlns="http://schemas.openxmlformats.org/spreadsheetml/2006/main" name="16_06_223" connectionId="176" autoFormatId="16" applyNumberFormats="0" applyBorderFormats="0" applyFontFormats="0" applyPatternFormats="0" applyAlignmentFormats="0" applyWidthHeightFormats="0"/>
</file>

<file path=xl/queryTables/queryTable211.xml><?xml version="1.0" encoding="utf-8"?>
<queryTable xmlns="http://schemas.openxmlformats.org/spreadsheetml/2006/main" name="16_06_150" connectionId="191" autoFormatId="16" applyNumberFormats="0" applyBorderFormats="0" applyFontFormats="0" applyPatternFormats="0" applyAlignmentFormats="0" applyWidthHeightFormats="0"/>
</file>

<file path=xl/queryTables/queryTable212.xml><?xml version="1.0" encoding="utf-8"?>
<queryTable xmlns="http://schemas.openxmlformats.org/spreadsheetml/2006/main" name="16_06_149" connectionId="346" autoFormatId="16" applyNumberFormats="0" applyBorderFormats="0" applyFontFormats="0" applyPatternFormats="0" applyAlignmentFormats="0" applyWidthHeightFormats="0"/>
</file>

<file path=xl/queryTables/queryTable213.xml><?xml version="1.0" encoding="utf-8"?>
<queryTable xmlns="http://schemas.openxmlformats.org/spreadsheetml/2006/main" name="16_06_58" connectionId="352" autoFormatId="16" applyNumberFormats="0" applyBorderFormats="0" applyFontFormats="0" applyPatternFormats="0" applyAlignmentFormats="0" applyWidthHeightFormats="0"/>
</file>

<file path=xl/queryTables/queryTable214.xml><?xml version="1.0" encoding="utf-8"?>
<queryTable xmlns="http://schemas.openxmlformats.org/spreadsheetml/2006/main" name="16_06_85" connectionId="373" autoFormatId="16" applyNumberFormats="0" applyBorderFormats="0" applyFontFormats="0" applyPatternFormats="0" applyAlignmentFormats="0" applyWidthHeightFormats="0"/>
</file>

<file path=xl/queryTables/queryTable215.xml><?xml version="1.0" encoding="utf-8"?>
<queryTable xmlns="http://schemas.openxmlformats.org/spreadsheetml/2006/main" name="16_06_139" connectionId="236" autoFormatId="16" applyNumberFormats="0" applyBorderFormats="0" applyFontFormats="0" applyPatternFormats="0" applyAlignmentFormats="0" applyWidthHeightFormats="0"/>
</file>

<file path=xl/queryTables/queryTable216.xml><?xml version="1.0" encoding="utf-8"?>
<queryTable xmlns="http://schemas.openxmlformats.org/spreadsheetml/2006/main" name="16_06_30" connectionId="289" autoFormatId="16" applyNumberFormats="0" applyBorderFormats="0" applyFontFormats="0" applyPatternFormats="0" applyAlignmentFormats="0" applyWidthHeightFormats="0"/>
</file>

<file path=xl/queryTables/queryTable217.xml><?xml version="1.0" encoding="utf-8"?>
<queryTable xmlns="http://schemas.openxmlformats.org/spreadsheetml/2006/main" name="16_06_165" connectionId="396" autoFormatId="16" applyNumberFormats="0" applyBorderFormats="0" applyFontFormats="0" applyPatternFormats="0" applyAlignmentFormats="0" applyWidthHeightFormats="0"/>
</file>

<file path=xl/queryTables/queryTable218.xml><?xml version="1.0" encoding="utf-8"?>
<queryTable xmlns="http://schemas.openxmlformats.org/spreadsheetml/2006/main" name="16_06_243" connectionId="399" autoFormatId="16" applyNumberFormats="0" applyBorderFormats="0" applyFontFormats="0" applyPatternFormats="0" applyAlignmentFormats="0" applyWidthHeightFormats="0"/>
</file>

<file path=xl/queryTables/queryTable219.xml><?xml version="1.0" encoding="utf-8"?>
<queryTable xmlns="http://schemas.openxmlformats.org/spreadsheetml/2006/main" name="16_06_187" connectionId="113" autoFormatId="16" applyNumberFormats="0" applyBorderFormats="0" applyFontFormats="0" applyPatternFormats="0" applyAlignmentFormats="0" applyWidthHeightFormats="0"/>
</file>

<file path=xl/queryTables/queryTable220.xml><?xml version="1.0" encoding="utf-8"?>
<queryTable xmlns="http://schemas.openxmlformats.org/spreadsheetml/2006/main" name="16_06_158" connectionId="71" autoFormatId="16" applyNumberFormats="0" applyBorderFormats="0" applyFontFormats="0" applyPatternFormats="0" applyAlignmentFormats="0" applyWidthHeightFormats="0"/>
</file>

<file path=xl/queryTables/queryTable221.xml><?xml version="1.0" encoding="utf-8"?>
<queryTable xmlns="http://schemas.openxmlformats.org/spreadsheetml/2006/main" name="16_06_92" connectionId="331" autoFormatId="16" applyNumberFormats="0" applyBorderFormats="0" applyFontFormats="0" applyPatternFormats="0" applyAlignmentFormats="0" applyWidthHeightFormats="0"/>
</file>

<file path=xl/queryTables/queryTable222.xml><?xml version="1.0" encoding="utf-8"?>
<queryTable xmlns="http://schemas.openxmlformats.org/spreadsheetml/2006/main" name="16_06_154" connectionId="185" autoFormatId="16" applyNumberFormats="0" applyBorderFormats="0" applyFontFormats="0" applyPatternFormats="0" applyAlignmentFormats="0" applyWidthHeightFormats="0"/>
</file>

<file path=xl/queryTables/queryTable223.xml><?xml version="1.0" encoding="utf-8"?>
<queryTable xmlns="http://schemas.openxmlformats.org/spreadsheetml/2006/main" name="16_06_69" connectionId="22" autoFormatId="16" applyNumberFormats="0" applyBorderFormats="0" applyFontFormats="0" applyPatternFormats="0" applyAlignmentFormats="0" applyWidthHeightFormats="0"/>
</file>

<file path=xl/queryTables/queryTable224.xml><?xml version="1.0" encoding="utf-8"?>
<queryTable xmlns="http://schemas.openxmlformats.org/spreadsheetml/2006/main" name="16_06_59" connectionId="97" autoFormatId="16" applyNumberFormats="0" applyBorderFormats="0" applyFontFormats="0" applyPatternFormats="0" applyAlignmentFormats="0" applyWidthHeightFormats="0"/>
</file>

<file path=xl/queryTables/queryTable225.xml><?xml version="1.0" encoding="utf-8"?>
<queryTable xmlns="http://schemas.openxmlformats.org/spreadsheetml/2006/main" name="16_06_113" connectionId="376" autoFormatId="16" applyNumberFormats="0" applyBorderFormats="0" applyFontFormats="0" applyPatternFormats="0" applyAlignmentFormats="0" applyWidthHeightFormats="0"/>
</file>

<file path=xl/queryTables/queryTable226.xml><?xml version="1.0" encoding="utf-8"?>
<queryTable xmlns="http://schemas.openxmlformats.org/spreadsheetml/2006/main" name="16_06_65" connectionId="204" autoFormatId="16" applyNumberFormats="0" applyBorderFormats="0" applyFontFormats="0" applyPatternFormats="0" applyAlignmentFormats="0" applyWidthHeightFormats="0"/>
</file>

<file path=xl/queryTables/queryTable227.xml><?xml version="1.0" encoding="utf-8"?>
<queryTable xmlns="http://schemas.openxmlformats.org/spreadsheetml/2006/main" name="16_06_63" connectionId="112" autoFormatId="16" applyNumberFormats="0" applyBorderFormats="0" applyFontFormats="0" applyPatternFormats="0" applyAlignmentFormats="0" applyWidthHeightFormats="0"/>
</file>

<file path=xl/queryTables/queryTable228.xml><?xml version="1.0" encoding="utf-8"?>
<queryTable xmlns="http://schemas.openxmlformats.org/spreadsheetml/2006/main" name="16_06_82" connectionId="393" autoFormatId="16" applyNumberFormats="0" applyBorderFormats="0" applyFontFormats="0" applyPatternFormats="0" applyAlignmentFormats="0" applyWidthHeightFormats="0"/>
</file>

<file path=xl/queryTables/queryTable229.xml><?xml version="1.0" encoding="utf-8"?>
<queryTable xmlns="http://schemas.openxmlformats.org/spreadsheetml/2006/main" name="16_06_173" connectionId="326" autoFormatId="16" applyNumberFormats="0" applyBorderFormats="0" applyFontFormats="0" applyPatternFormats="0" applyAlignmentFormats="0" applyWidthHeightFormats="0"/>
</file>

<file path=xl/queryTables/queryTable230.xml><?xml version="1.0" encoding="utf-8"?>
<queryTable xmlns="http://schemas.openxmlformats.org/spreadsheetml/2006/main" name="16_06_48" connectionId="242" autoFormatId="16" applyNumberFormats="0" applyBorderFormats="0" applyFontFormats="0" applyPatternFormats="0" applyAlignmentFormats="0" applyWidthHeightFormats="0"/>
</file>

<file path=xl/queryTables/queryTable231.xml><?xml version="1.0" encoding="utf-8"?>
<queryTable xmlns="http://schemas.openxmlformats.org/spreadsheetml/2006/main" name="16_06_64" connectionId="42" autoFormatId="16" applyNumberFormats="0" applyBorderFormats="0" applyFontFormats="0" applyPatternFormats="0" applyAlignmentFormats="0" applyWidthHeightFormats="0"/>
</file>

<file path=xl/queryTables/queryTable232.xml><?xml version="1.0" encoding="utf-8"?>
<queryTable xmlns="http://schemas.openxmlformats.org/spreadsheetml/2006/main" name="16_06_214" connectionId="105" autoFormatId="16" applyNumberFormats="0" applyBorderFormats="0" applyFontFormats="0" applyPatternFormats="0" applyAlignmentFormats="0" applyWidthHeightFormats="0"/>
</file>

<file path=xl/queryTables/queryTable233.xml><?xml version="1.0" encoding="utf-8"?>
<queryTable xmlns="http://schemas.openxmlformats.org/spreadsheetml/2006/main" name="16_06_168" connectionId="463" autoFormatId="16" applyNumberFormats="0" applyBorderFormats="0" applyFontFormats="0" applyPatternFormats="0" applyAlignmentFormats="0" applyWidthHeightFormats="0"/>
</file>

<file path=xl/queryTables/queryTable234.xml><?xml version="1.0" encoding="utf-8"?>
<queryTable xmlns="http://schemas.openxmlformats.org/spreadsheetml/2006/main" name="16_06_258" connectionId="77" autoFormatId="16" applyNumberFormats="0" applyBorderFormats="0" applyFontFormats="0" applyPatternFormats="0" applyAlignmentFormats="0" applyWidthHeightFormats="0"/>
</file>

<file path=xl/queryTables/queryTable235.xml><?xml version="1.0" encoding="utf-8"?>
<queryTable xmlns="http://schemas.openxmlformats.org/spreadsheetml/2006/main" name="16_06_104" connectionId="465" autoFormatId="16" applyNumberFormats="0" applyBorderFormats="0" applyFontFormats="0" applyPatternFormats="0" applyAlignmentFormats="0" applyWidthHeightFormats="0"/>
</file>

<file path=xl/queryTables/queryTable236.xml><?xml version="1.0" encoding="utf-8"?>
<queryTable xmlns="http://schemas.openxmlformats.org/spreadsheetml/2006/main" name="16_06_29" connectionId="420" autoFormatId="16" applyNumberFormats="0" applyBorderFormats="0" applyFontFormats="0" applyPatternFormats="0" applyAlignmentFormats="0" applyWidthHeightFormats="0"/>
</file>

<file path=xl/queryTables/queryTable237.xml><?xml version="1.0" encoding="utf-8"?>
<queryTable xmlns="http://schemas.openxmlformats.org/spreadsheetml/2006/main" name="16_06_80" connectionId="62" autoFormatId="16" applyNumberFormats="0" applyBorderFormats="0" applyFontFormats="0" applyPatternFormats="0" applyAlignmentFormats="0" applyWidthHeightFormats="0"/>
</file>

<file path=xl/queryTables/queryTable238.xml><?xml version="1.0" encoding="utf-8"?>
<queryTable xmlns="http://schemas.openxmlformats.org/spreadsheetml/2006/main" name="16_06_143" connectionId="340" autoFormatId="16" applyNumberFormats="0" applyBorderFormats="0" applyFontFormats="0" applyPatternFormats="0" applyAlignmentFormats="0" applyWidthHeightFormats="0"/>
</file>

<file path=xl/queryTables/queryTable239.xml><?xml version="1.0" encoding="utf-8"?>
<queryTable xmlns="http://schemas.openxmlformats.org/spreadsheetml/2006/main" name="16_06_37" connectionId="78" autoFormatId="16" applyNumberFormats="0" applyBorderFormats="0" applyFontFormats="0" applyPatternFormats="0" applyAlignmentFormats="0" applyWidthHeightFormats="0"/>
</file>

<file path=xl/queryTables/queryTable240.xml><?xml version="1.0" encoding="utf-8"?>
<queryTable xmlns="http://schemas.openxmlformats.org/spreadsheetml/2006/main" name="16_06_119" connectionId="156" autoFormatId="16" applyNumberFormats="0" applyBorderFormats="0" applyFontFormats="0" applyPatternFormats="0" applyAlignmentFormats="0" applyWidthHeightFormats="0"/>
</file>

<file path=xl/queryTables/queryTable241.xml><?xml version="1.0" encoding="utf-8"?>
<queryTable xmlns="http://schemas.openxmlformats.org/spreadsheetml/2006/main" name="16_06_88" connectionId="387" autoFormatId="16" applyNumberFormats="0" applyBorderFormats="0" applyFontFormats="0" applyPatternFormats="0" applyAlignmentFormats="0" applyWidthHeightFormats="0"/>
</file>

<file path=xl/queryTables/queryTable242.xml><?xml version="1.0" encoding="utf-8"?>
<queryTable xmlns="http://schemas.openxmlformats.org/spreadsheetml/2006/main" name="16_06_146" connectionId="320" autoFormatId="16" applyNumberFormats="0" applyBorderFormats="0" applyFontFormats="0" applyPatternFormats="0" applyAlignmentFormats="0" applyWidthHeightFormats="0"/>
</file>

<file path=xl/queryTables/queryTable243.xml><?xml version="1.0" encoding="utf-8"?>
<queryTable xmlns="http://schemas.openxmlformats.org/spreadsheetml/2006/main" name="16_06_30" connectionId="408" autoFormatId="16" applyNumberFormats="0" applyBorderFormats="0" applyFontFormats="0" applyPatternFormats="0" applyAlignmentFormats="0" applyWidthHeightFormats="0"/>
</file>

<file path=xl/queryTables/queryTable244.xml><?xml version="1.0" encoding="utf-8"?>
<queryTable xmlns="http://schemas.openxmlformats.org/spreadsheetml/2006/main" name="16_06_85" connectionId="395" autoFormatId="16" applyNumberFormats="0" applyBorderFormats="0" applyFontFormats="0" applyPatternFormats="0" applyAlignmentFormats="0" applyWidthHeightFormats="0"/>
</file>

<file path=xl/queryTables/queryTable245.xml><?xml version="1.0" encoding="utf-8"?>
<queryTable xmlns="http://schemas.openxmlformats.org/spreadsheetml/2006/main" name="16_06_133" connectionId="101" autoFormatId="16" applyNumberFormats="0" applyBorderFormats="0" applyFontFormats="0" applyPatternFormats="0" applyAlignmentFormats="0" applyWidthHeightFormats="0"/>
</file>

<file path=xl/queryTables/queryTable246.xml><?xml version="1.0" encoding="utf-8"?>
<queryTable xmlns="http://schemas.openxmlformats.org/spreadsheetml/2006/main" name="16_06_74" connectionId="379" autoFormatId="16" applyNumberFormats="0" applyBorderFormats="0" applyFontFormats="0" applyPatternFormats="0" applyAlignmentFormats="0" applyWidthHeightFormats="0"/>
</file>

<file path=xl/queryTables/queryTable247.xml><?xml version="1.0" encoding="utf-8"?>
<queryTable xmlns="http://schemas.openxmlformats.org/spreadsheetml/2006/main" name="16_06_94" connectionId="257" autoFormatId="16" applyNumberFormats="0" applyBorderFormats="0" applyFontFormats="0" applyPatternFormats="0" applyAlignmentFormats="0" applyWidthHeightFormats="0"/>
</file>

<file path=xl/queryTables/queryTable248.xml><?xml version="1.0" encoding="utf-8"?>
<queryTable xmlns="http://schemas.openxmlformats.org/spreadsheetml/2006/main" name="16_06_222" connectionId="433" autoFormatId="16" applyNumberFormats="0" applyBorderFormats="0" applyFontFormats="0" applyPatternFormats="0" applyAlignmentFormats="0" applyWidthHeightFormats="0"/>
</file>

<file path=xl/queryTables/queryTable249.xml><?xml version="1.0" encoding="utf-8"?>
<queryTable xmlns="http://schemas.openxmlformats.org/spreadsheetml/2006/main" name="16_06_60" connectionId="438" autoFormatId="16" applyNumberFormats="0" applyBorderFormats="0" applyFontFormats="0" applyPatternFormats="0" applyAlignmentFormats="0" applyWidthHeightFormats="0"/>
</file>

<file path=xl/queryTables/queryTable250.xml><?xml version="1.0" encoding="utf-8"?>
<queryTable xmlns="http://schemas.openxmlformats.org/spreadsheetml/2006/main" name="16_06_202" connectionId="114" autoFormatId="16" applyNumberFormats="0" applyBorderFormats="0" applyFontFormats="0" applyPatternFormats="0" applyAlignmentFormats="0" applyWidthHeightFormats="0"/>
</file>

<file path=xl/queryTables/queryTable251.xml><?xml version="1.0" encoding="utf-8"?>
<queryTable xmlns="http://schemas.openxmlformats.org/spreadsheetml/2006/main" name="16_06_115" connectionId="345" autoFormatId="16" applyNumberFormats="0" applyBorderFormats="0" applyFontFormats="0" applyPatternFormats="0" applyAlignmentFormats="0" applyWidthHeightFormats="0"/>
</file>

<file path=xl/queryTables/queryTable252.xml><?xml version="1.0" encoding="utf-8"?>
<queryTable xmlns="http://schemas.openxmlformats.org/spreadsheetml/2006/main" name="16_06_33" connectionId="61" autoFormatId="16" applyNumberFormats="0" applyBorderFormats="0" applyFontFormats="0" applyPatternFormats="0" applyAlignmentFormats="0" applyWidthHeightFormats="0"/>
</file>

<file path=xl/queryTables/queryTable253.xml><?xml version="1.0" encoding="utf-8"?>
<queryTable xmlns="http://schemas.openxmlformats.org/spreadsheetml/2006/main" name="16_06_56" connectionId="195" autoFormatId="16" applyNumberFormats="0" applyBorderFormats="0" applyFontFormats="0" applyPatternFormats="0" applyAlignmentFormats="0" applyWidthHeightFormats="0"/>
</file>

<file path=xl/queryTables/queryTable254.xml><?xml version="1.0" encoding="utf-8"?>
<queryTable xmlns="http://schemas.openxmlformats.org/spreadsheetml/2006/main" name="16_06_239" connectionId="162" autoFormatId="16" applyNumberFormats="0" applyBorderFormats="0" applyFontFormats="0" applyPatternFormats="0" applyAlignmentFormats="0" applyWidthHeightFormats="0"/>
</file>

<file path=xl/queryTables/queryTable255.xml><?xml version="1.0" encoding="utf-8"?>
<queryTable xmlns="http://schemas.openxmlformats.org/spreadsheetml/2006/main" name="16_06_210" connectionId="130" autoFormatId="16" applyNumberFormats="0" applyBorderFormats="0" applyFontFormats="0" applyPatternFormats="0" applyAlignmentFormats="0" applyWidthHeightFormats="0"/>
</file>

<file path=xl/queryTables/queryTable256.xml><?xml version="1.0" encoding="utf-8"?>
<queryTable xmlns="http://schemas.openxmlformats.org/spreadsheetml/2006/main" name="16_06_44" connectionId="28" autoFormatId="16" applyNumberFormats="0" applyBorderFormats="0" applyFontFormats="0" applyPatternFormats="0" applyAlignmentFormats="0" applyWidthHeightFormats="0"/>
</file>

<file path=xl/queryTables/queryTable257.xml><?xml version="1.0" encoding="utf-8"?>
<queryTable xmlns="http://schemas.openxmlformats.org/spreadsheetml/2006/main" name="16_06_95" connectionId="284" autoFormatId="16" applyNumberFormats="0" applyBorderFormats="0" applyFontFormats="0" applyPatternFormats="0" applyAlignmentFormats="0" applyWidthHeightFormats="0"/>
</file>

<file path=xl/queryTables/queryTable258.xml><?xml version="1.0" encoding="utf-8"?>
<queryTable xmlns="http://schemas.openxmlformats.org/spreadsheetml/2006/main" name="16_06_183" connectionId="330" autoFormatId="16" applyNumberFormats="0" applyBorderFormats="0" applyFontFormats="0" applyPatternFormats="0" applyAlignmentFormats="0" applyWidthHeightFormats="0"/>
</file>

<file path=xl/queryTables/queryTable259.xml><?xml version="1.0" encoding="utf-8"?>
<queryTable xmlns="http://schemas.openxmlformats.org/spreadsheetml/2006/main" name="16_06_70" connectionId="241" autoFormatId="16" applyNumberFormats="0" applyBorderFormats="0" applyFontFormats="0" applyPatternFormats="0" applyAlignmentFormats="0" applyWidthHeightFormats="0"/>
</file>

<file path=xl/queryTables/queryTable260.xml><?xml version="1.0" encoding="utf-8"?>
<queryTable xmlns="http://schemas.openxmlformats.org/spreadsheetml/2006/main" name="16_06_204" connectionId="312" autoFormatId="16" applyNumberFormats="0" applyBorderFormats="0" applyFontFormats="0" applyPatternFormats="0" applyAlignmentFormats="0" applyWidthHeightFormats="0"/>
</file>

<file path=xl/queryTables/queryTable261.xml><?xml version="1.0" encoding="utf-8"?>
<queryTable xmlns="http://schemas.openxmlformats.org/spreadsheetml/2006/main" name="16_06_106" connectionId="426" autoFormatId="16" applyNumberFormats="0" applyBorderFormats="0" applyFontFormats="0" applyPatternFormats="0" applyAlignmentFormats="0" applyWidthHeightFormats="0"/>
</file>

<file path=xl/queryTables/queryTable262.xml><?xml version="1.0" encoding="utf-8"?>
<queryTable xmlns="http://schemas.openxmlformats.org/spreadsheetml/2006/main" name="16_06_240" connectionId="266" autoFormatId="16" applyNumberFormats="0" applyBorderFormats="0" applyFontFormats="0" applyPatternFormats="0" applyAlignmentFormats="0" applyWidthHeightFormats="0"/>
</file>

<file path=xl/queryTables/queryTable263.xml><?xml version="1.0" encoding="utf-8"?>
<queryTable xmlns="http://schemas.openxmlformats.org/spreadsheetml/2006/main" name="16_06_180" connectionId="364" autoFormatId="16" applyNumberFormats="0" applyBorderFormats="0" applyFontFormats="0" applyPatternFormats="0" applyAlignmentFormats="0" applyWidthHeightFormats="0"/>
</file>

<file path=xl/queryTables/queryTable264.xml><?xml version="1.0" encoding="utf-8"?>
<queryTable xmlns="http://schemas.openxmlformats.org/spreadsheetml/2006/main" name="16_06_150" connectionId="26" autoFormatId="16" applyNumberFormats="0" applyBorderFormats="0" applyFontFormats="0" applyPatternFormats="0" applyAlignmentFormats="0" applyWidthHeightFormats="0"/>
</file>

<file path=xl/queryTables/queryTable265.xml><?xml version="1.0" encoding="utf-8"?>
<queryTable xmlns="http://schemas.openxmlformats.org/spreadsheetml/2006/main" name="16_06_231" connectionId="406" autoFormatId="16" applyNumberFormats="0" applyBorderFormats="0" applyFontFormats="0" applyPatternFormats="0" applyAlignmentFormats="0" applyWidthHeightFormats="0"/>
</file>

<file path=xl/queryTables/queryTable266.xml><?xml version="1.0" encoding="utf-8"?>
<queryTable xmlns="http://schemas.openxmlformats.org/spreadsheetml/2006/main" name="16_06_43" connectionId="173" autoFormatId="16" applyNumberFormats="0" applyBorderFormats="0" applyFontFormats="0" applyPatternFormats="0" applyAlignmentFormats="0" applyWidthHeightFormats="0"/>
</file>

<file path=xl/queryTables/queryTable267.xml><?xml version="1.0" encoding="utf-8"?>
<queryTable xmlns="http://schemas.openxmlformats.org/spreadsheetml/2006/main" name="16_06_179" connectionId="149" autoFormatId="16" applyNumberFormats="0" applyBorderFormats="0" applyFontFormats="0" applyPatternFormats="0" applyAlignmentFormats="0" applyWidthHeightFormats="0"/>
</file>

<file path=xl/queryTables/queryTable268.xml><?xml version="1.0" encoding="utf-8"?>
<queryTable xmlns="http://schemas.openxmlformats.org/spreadsheetml/2006/main" name="16_06_175" connectionId="122" autoFormatId="16" applyNumberFormats="0" applyBorderFormats="0" applyFontFormats="0" applyPatternFormats="0" applyAlignmentFormats="0" applyWidthHeightFormats="0"/>
</file>

<file path=xl/queryTables/queryTable269.xml><?xml version="1.0" encoding="utf-8"?>
<queryTable xmlns="http://schemas.openxmlformats.org/spreadsheetml/2006/main" name="16_06_107" connectionId="90" autoFormatId="16" applyNumberFormats="0" applyBorderFormats="0" applyFontFormats="0" applyPatternFormats="0" applyAlignmentFormats="0" applyWidthHeightFormats="0"/>
</file>

<file path=xl/queryTables/queryTable270.xml><?xml version="1.0" encoding="utf-8"?>
<queryTable xmlns="http://schemas.openxmlformats.org/spreadsheetml/2006/main" name="16_06_36" connectionId="386" autoFormatId="16" applyNumberFormats="0" applyBorderFormats="0" applyFontFormats="0" applyPatternFormats="0" applyAlignmentFormats="0" applyWidthHeightFormats="0"/>
</file>

<file path=xl/queryTables/queryTable271.xml><?xml version="1.0" encoding="utf-8"?>
<queryTable xmlns="http://schemas.openxmlformats.org/spreadsheetml/2006/main" name="16_06_54" connectionId="13" autoFormatId="16" applyNumberFormats="0" applyBorderFormats="0" applyFontFormats="0" applyPatternFormats="0" applyAlignmentFormats="0" applyWidthHeightFormats="0"/>
</file>

<file path=xl/queryTables/queryTable272.xml><?xml version="1.0" encoding="utf-8"?>
<queryTable xmlns="http://schemas.openxmlformats.org/spreadsheetml/2006/main" name="16_06_149" connectionId="419" autoFormatId="16" applyNumberFormats="0" applyBorderFormats="0" applyFontFormats="0" applyPatternFormats="0" applyAlignmentFormats="0" applyWidthHeightFormats="0"/>
</file>

<file path=xl/queryTables/queryTable273.xml><?xml version="1.0" encoding="utf-8"?>
<queryTable xmlns="http://schemas.openxmlformats.org/spreadsheetml/2006/main" name="16_06_108" connectionId="140" autoFormatId="16" applyNumberFormats="0" applyBorderFormats="0" applyFontFormats="0" applyPatternFormats="0" applyAlignmentFormats="0" applyWidthHeightFormats="0"/>
</file>

<file path=xl/queryTables/queryTable274.xml><?xml version="1.0" encoding="utf-8"?>
<queryTable xmlns="http://schemas.openxmlformats.org/spreadsheetml/2006/main" name="16_06_190" connectionId="20" autoFormatId="16" applyNumberFormats="0" applyBorderFormats="0" applyFontFormats="0" applyPatternFormats="0" applyAlignmentFormats="0" applyWidthHeightFormats="0"/>
</file>

<file path=xl/queryTables/queryTable275.xml><?xml version="1.0" encoding="utf-8"?>
<queryTable xmlns="http://schemas.openxmlformats.org/spreadsheetml/2006/main" name="16_06_39" connectionId="41" autoFormatId="16" applyNumberFormats="0" applyBorderFormats="0" applyFontFormats="0" applyPatternFormats="0" applyAlignmentFormats="0" applyWidthHeightFormats="0"/>
</file>

<file path=xl/queryTables/queryTable276.xml><?xml version="1.0" encoding="utf-8"?>
<queryTable xmlns="http://schemas.openxmlformats.org/spreadsheetml/2006/main" name="16_06_90" connectionId="220" autoFormatId="16" applyNumberFormats="0" applyBorderFormats="0" applyFontFormats="0" applyPatternFormats="0" applyAlignmentFormats="0" applyWidthHeightFormats="0"/>
</file>

<file path=xl/queryTables/queryTable277.xml><?xml version="1.0" encoding="utf-8"?>
<queryTable xmlns="http://schemas.openxmlformats.org/spreadsheetml/2006/main" name="16_06_122" connectionId="371" autoFormatId="16" applyNumberFormats="0" applyBorderFormats="0" applyFontFormats="0" applyPatternFormats="0" applyAlignmentFormats="0" applyWidthHeightFormats="0"/>
</file>

<file path=xl/queryTables/queryTable278.xml><?xml version="1.0" encoding="utf-8"?>
<queryTable xmlns="http://schemas.openxmlformats.org/spreadsheetml/2006/main" name="16_06_46" connectionId="210" autoFormatId="16" applyNumberFormats="0" applyBorderFormats="0" applyFontFormats="0" applyPatternFormats="0" applyAlignmentFormats="0" applyWidthHeightFormats="0"/>
</file>

<file path=xl/queryTables/queryTable279.xml><?xml version="1.0" encoding="utf-8"?>
<queryTable xmlns="http://schemas.openxmlformats.org/spreadsheetml/2006/main" name="16_06_68" connectionId="316" autoFormatId="16" applyNumberFormats="0" applyBorderFormats="0" applyFontFormats="0" applyPatternFormats="0" applyAlignmentFormats="0" applyWidthHeightFormats="0"/>
</file>

<file path=xl/queryTables/queryTable280.xml><?xml version="1.0" encoding="utf-8"?>
<queryTable xmlns="http://schemas.openxmlformats.org/spreadsheetml/2006/main" name="16_06_223" connectionId="414" autoFormatId="16" applyNumberFormats="0" applyBorderFormats="0" applyFontFormats="0" applyPatternFormats="0" applyAlignmentFormats="0" applyWidthHeightFormats="0"/>
</file>

<file path=xl/queryTables/queryTable281.xml><?xml version="1.0" encoding="utf-8"?>
<queryTable xmlns="http://schemas.openxmlformats.org/spreadsheetml/2006/main" name="16_06_233" connectionId="322" autoFormatId="16" applyNumberFormats="0" applyBorderFormats="0" applyFontFormats="0" applyPatternFormats="0" applyAlignmentFormats="0" applyWidthHeightFormats="0"/>
</file>

<file path=xl/queryTables/queryTable282.xml><?xml version="1.0" encoding="utf-8"?>
<queryTable xmlns="http://schemas.openxmlformats.org/spreadsheetml/2006/main" name="16_06_111" connectionId="134" autoFormatId="16" applyNumberFormats="0" applyBorderFormats="0" applyFontFormats="0" applyPatternFormats="0" applyAlignmentFormats="0" applyWidthHeightFormats="0"/>
</file>

<file path=xl/queryTables/queryTable283.xml><?xml version="1.0" encoding="utf-8"?>
<queryTable xmlns="http://schemas.openxmlformats.org/spreadsheetml/2006/main" name="16_06_78" connectionId="174" autoFormatId="16" applyNumberFormats="0" applyBorderFormats="0" applyFontFormats="0" applyPatternFormats="0" applyAlignmentFormats="0" applyWidthHeightFormats="0"/>
</file>

<file path=xl/queryTables/queryTable284.xml><?xml version="1.0" encoding="utf-8"?>
<queryTable xmlns="http://schemas.openxmlformats.org/spreadsheetml/2006/main" name="16_06_105" connectionId="382" autoFormatId="16" applyNumberFormats="0" applyBorderFormats="0" applyFontFormats="0" applyPatternFormats="0" applyAlignmentFormats="0" applyWidthHeightFormats="0"/>
</file>

<file path=xl/queryTables/queryTable285.xml><?xml version="1.0" encoding="utf-8"?>
<queryTable xmlns="http://schemas.openxmlformats.org/spreadsheetml/2006/main" name="1317755739475482419-13_07_27" connectionId="4" autoFormatId="16" applyNumberFormats="0" applyBorderFormats="0" applyFontFormats="0" applyPatternFormats="0" applyAlignmentFormats="0" applyWidthHeightFormats="0"/>
</file>

<file path=xl/queryTables/queryTable286.xml><?xml version="1.0" encoding="utf-8"?>
<queryTable xmlns="http://schemas.openxmlformats.org/spreadsheetml/2006/main" name="16_06_200" connectionId="102" autoFormatId="16" applyNumberFormats="0" applyBorderFormats="0" applyFontFormats="0" applyPatternFormats="0" applyAlignmentFormats="0" applyWidthHeightFormats="0"/>
</file>

<file path=xl/queryTables/queryTable287.xml><?xml version="1.0" encoding="utf-8"?>
<queryTable xmlns="http://schemas.openxmlformats.org/spreadsheetml/2006/main" name="16_06_125" connectionId="464" autoFormatId="16" applyNumberFormats="0" applyBorderFormats="0" applyFontFormats="0" applyPatternFormats="0" applyAlignmentFormats="0" applyWidthHeightFormats="0"/>
</file>

<file path=xl/queryTables/queryTable288.xml><?xml version="1.0" encoding="utf-8"?>
<queryTable xmlns="http://schemas.openxmlformats.org/spreadsheetml/2006/main" name="16_06_64" connectionId="423" autoFormatId="16" applyNumberFormats="0" applyBorderFormats="0" applyFontFormats="0" applyPatternFormats="0" applyAlignmentFormats="0" applyWidthHeightFormats="0"/>
</file>

<file path=xl/queryTables/queryTable289.xml><?xml version="1.0" encoding="utf-8"?>
<queryTable xmlns="http://schemas.openxmlformats.org/spreadsheetml/2006/main" name="16_06_146" connectionId="216" autoFormatId="16" applyNumberFormats="0" applyBorderFormats="0" applyFontFormats="0" applyPatternFormats="0" applyAlignmentFormats="0" applyWidthHeightFormats="0"/>
</file>

<file path=xl/queryTables/queryTable290.xml><?xml version="1.0" encoding="utf-8"?>
<queryTable xmlns="http://schemas.openxmlformats.org/spreadsheetml/2006/main" name="1317755739475482419-13_07_25" connectionId="5" autoFormatId="16" applyNumberFormats="0" applyBorderFormats="0" applyFontFormats="0" applyPatternFormats="0" applyAlignmentFormats="0" applyWidthHeightFormats="0"/>
</file>

<file path=xl/queryTables/queryTable291.xml><?xml version="1.0" encoding="utf-8"?>
<queryTable xmlns="http://schemas.openxmlformats.org/spreadsheetml/2006/main" name="16_06_155" connectionId="208" autoFormatId="16" applyNumberFormats="0" applyBorderFormats="0" applyFontFormats="0" applyPatternFormats="0" applyAlignmentFormats="0" applyWidthHeightFormats="0"/>
</file>

<file path=xl/queryTables/queryTable292.xml><?xml version="1.0" encoding="utf-8"?>
<queryTable xmlns="http://schemas.openxmlformats.org/spreadsheetml/2006/main" name="16_06_198" connectionId="47" autoFormatId="16" applyNumberFormats="0" applyBorderFormats="0" applyFontFormats="0" applyPatternFormats="0" applyAlignmentFormats="0" applyWidthHeightFormats="0"/>
</file>

<file path=xl/queryTables/queryTable293.xml><?xml version="1.0" encoding="utf-8"?>
<queryTable xmlns="http://schemas.openxmlformats.org/spreadsheetml/2006/main" name="16_06_38" connectionId="453" autoFormatId="16" applyNumberFormats="0" applyBorderFormats="0" applyFontFormats="0" applyPatternFormats="0" applyAlignmentFormats="0" applyWidthHeightFormats="0"/>
</file>

<file path=xl/queryTables/queryTable294.xml><?xml version="1.0" encoding="utf-8"?>
<queryTable xmlns="http://schemas.openxmlformats.org/spreadsheetml/2006/main" name="16_06_101" connectionId="447" autoFormatId="16" applyNumberFormats="0" applyBorderFormats="0" applyFontFormats="0" applyPatternFormats="0" applyAlignmentFormats="0" applyWidthHeightFormats="0"/>
</file>

<file path=xl/queryTables/queryTable295.xml><?xml version="1.0" encoding="utf-8"?>
<queryTable xmlns="http://schemas.openxmlformats.org/spreadsheetml/2006/main" name="16_06_168" connectionId="299" autoFormatId="16" applyNumberFormats="0" applyBorderFormats="0" applyFontFormats="0" applyPatternFormats="0" applyAlignmentFormats="0" applyWidthHeightFormats="0"/>
</file>

<file path=xl/queryTables/queryTable296.xml><?xml version="1.0" encoding="utf-8"?>
<queryTable xmlns="http://schemas.openxmlformats.org/spreadsheetml/2006/main" name="16_06_162" connectionId="305" autoFormatId="16" applyNumberFormats="0" applyBorderFormats="0" applyFontFormats="0" applyPatternFormats="0" applyAlignmentFormats="0" applyWidthHeightFormats="0"/>
</file>

<file path=xl/queryTables/queryTable297.xml><?xml version="1.0" encoding="utf-8"?>
<queryTable xmlns="http://schemas.openxmlformats.org/spreadsheetml/2006/main" name="16_06_229" connectionId="441" autoFormatId="16" applyNumberFormats="0" applyBorderFormats="0" applyFontFormats="0" applyPatternFormats="0" applyAlignmentFormats="0" applyWidthHeightFormats="0"/>
</file>

<file path=xl/queryTables/queryTable298.xml><?xml version="1.0" encoding="utf-8"?>
<queryTable xmlns="http://schemas.openxmlformats.org/spreadsheetml/2006/main" name="16_06_241" connectionId="247" autoFormatId="16" applyNumberFormats="0" applyBorderFormats="0" applyFontFormats="0" applyPatternFormats="0" applyAlignmentFormats="0" applyWidthHeightFormats="0"/>
</file>

<file path=xl/queryTables/queryTable299.xml><?xml version="1.0" encoding="utf-8"?>
<queryTable xmlns="http://schemas.openxmlformats.org/spreadsheetml/2006/main" name="16_06_144" connectionId="201" autoFormatId="16" applyNumberFormats="0" applyBorderFormats="0" applyFontFormats="0" applyPatternFormats="0" applyAlignmentFormats="0" applyWidthHeightFormats="0"/>
</file>

<file path=xl/queryTables/queryTable300.xml><?xml version="1.0" encoding="utf-8"?>
<queryTable xmlns="http://schemas.openxmlformats.org/spreadsheetml/2006/main" name="16_06_156" connectionId="443" autoFormatId="16" applyNumberFormats="0" applyBorderFormats="0" applyFontFormats="0" applyPatternFormats="0" applyAlignmentFormats="0" applyWidthHeightFormats="0"/>
</file>

<file path=xl/queryTables/queryTable301.xml><?xml version="1.0" encoding="utf-8"?>
<queryTable xmlns="http://schemas.openxmlformats.org/spreadsheetml/2006/main" name="16_06_207" connectionId="165" autoFormatId="16" applyNumberFormats="0" applyBorderFormats="0" applyFontFormats="0" applyPatternFormats="0" applyAlignmentFormats="0" applyWidthHeightFormats="0"/>
</file>

<file path=xl/queryTables/queryTable302.xml><?xml version="1.0" encoding="utf-8"?>
<queryTable xmlns="http://schemas.openxmlformats.org/spreadsheetml/2006/main" name="16_06_109" connectionId="303" autoFormatId="16" applyNumberFormats="0" applyBorderFormats="0" applyFontFormats="0" applyPatternFormats="0" applyAlignmentFormats="0" applyWidthHeightFormats="0"/>
</file>

<file path=xl/queryTables/queryTable303.xml><?xml version="1.0" encoding="utf-8"?>
<queryTable xmlns="http://schemas.openxmlformats.org/spreadsheetml/2006/main" name="16_06_132" connectionId="46" autoFormatId="16" applyNumberFormats="0" applyBorderFormats="0" applyFontFormats="0" applyPatternFormats="0" applyAlignmentFormats="0" applyWidthHeightFormats="0"/>
</file>

<file path=xl/queryTables/queryTable304.xml><?xml version="1.0" encoding="utf-8"?>
<queryTable xmlns="http://schemas.openxmlformats.org/spreadsheetml/2006/main" name="16_06_99" connectionId="38" autoFormatId="16" applyNumberFormats="0" applyBorderFormats="0" applyFontFormats="0" applyPatternFormats="0" applyAlignmentFormats="0" applyWidthHeightFormats="0"/>
</file>

<file path=xl/queryTables/queryTable305.xml><?xml version="1.0" encoding="utf-8"?>
<queryTable xmlns="http://schemas.openxmlformats.org/spreadsheetml/2006/main" name="16_06_48" connectionId="365" autoFormatId="16" applyNumberFormats="0" applyBorderFormats="0" applyFontFormats="0" applyPatternFormats="0" applyAlignmentFormats="0" applyWidthHeightFormats="0"/>
</file>

<file path=xl/queryTables/queryTable306.xml><?xml version="1.0" encoding="utf-8"?>
<queryTable xmlns="http://schemas.openxmlformats.org/spreadsheetml/2006/main" name="16_06_129" connectionId="246" autoFormatId="16" applyNumberFormats="0" applyBorderFormats="0" applyFontFormats="0" applyPatternFormats="0" applyAlignmentFormats="0" applyWidthHeightFormats="0"/>
</file>

<file path=xl/queryTables/queryTable307.xml><?xml version="1.0" encoding="utf-8"?>
<queryTable xmlns="http://schemas.openxmlformats.org/spreadsheetml/2006/main" name="16_06_218" connectionId="385" autoFormatId="16" applyNumberFormats="0" applyBorderFormats="0" applyFontFormats="0" applyPatternFormats="0" applyAlignmentFormats="0" applyWidthHeightFormats="0"/>
</file>

<file path=xl/queryTables/queryTable308.xml><?xml version="1.0" encoding="utf-8"?>
<queryTable xmlns="http://schemas.openxmlformats.org/spreadsheetml/2006/main" name="16_06_104" connectionId="361" autoFormatId="16" applyNumberFormats="0" applyBorderFormats="0" applyFontFormats="0" applyPatternFormats="0" applyAlignmentFormats="0" applyWidthHeightFormats="0"/>
</file>

<file path=xl/queryTables/queryTable309.xml><?xml version="1.0" encoding="utf-8"?>
<queryTable xmlns="http://schemas.openxmlformats.org/spreadsheetml/2006/main" name="16_06_135" connectionId="72" autoFormatId="16" applyNumberFormats="0" applyBorderFormats="0" applyFontFormats="0" applyPatternFormats="0" applyAlignmentFormats="0" applyWidthHeightFormats="0"/>
</file>

<file path=xl/queryTables/queryTable310.xml><?xml version="1.0" encoding="utf-8"?>
<queryTable xmlns="http://schemas.openxmlformats.org/spreadsheetml/2006/main" name="16_06_128" connectionId="397" autoFormatId="16" applyNumberFormats="0" applyBorderFormats="0" applyFontFormats="0" applyPatternFormats="0" applyAlignmentFormats="0" applyWidthHeightFormats="0"/>
</file>

<file path=xl/queryTables/queryTable311.xml><?xml version="1.0" encoding="utf-8"?>
<queryTable xmlns="http://schemas.openxmlformats.org/spreadsheetml/2006/main" name="16_06_219" connectionId="109" autoFormatId="16" applyNumberFormats="0" applyBorderFormats="0" applyFontFormats="0" applyPatternFormats="0" applyAlignmentFormats="0" applyWidthHeightFormats="0"/>
</file>

<file path=xl/queryTables/queryTable312.xml><?xml version="1.0" encoding="utf-8"?>
<queryTable xmlns="http://schemas.openxmlformats.org/spreadsheetml/2006/main" name="16_06_185" connectionId="24" autoFormatId="16" applyNumberFormats="0" applyBorderFormats="0" applyFontFormats="0" applyPatternFormats="0" applyAlignmentFormats="0" applyWidthHeightFormats="0"/>
</file>

<file path=xl/queryTables/queryTable313.xml><?xml version="1.0" encoding="utf-8"?>
<queryTable xmlns="http://schemas.openxmlformats.org/spreadsheetml/2006/main" name="16_06_126" connectionId="52" autoFormatId="16" applyNumberFormats="0" applyBorderFormats="0" applyFontFormats="0" applyPatternFormats="0" applyAlignmentFormats="0" applyWidthHeightFormats="0"/>
</file>

<file path=xl/queryTables/queryTable314.xml><?xml version="1.0" encoding="utf-8"?>
<queryTable xmlns="http://schemas.openxmlformats.org/spreadsheetml/2006/main" name="16_06_117" connectionId="120" autoFormatId="16" applyNumberFormats="0" applyBorderFormats="0" applyFontFormats="0" applyPatternFormats="0" applyAlignmentFormats="0" applyWidthHeightFormats="0"/>
</file>

<file path=xl/queryTables/queryTable315.xml><?xml version="1.0" encoding="utf-8"?>
<queryTable xmlns="http://schemas.openxmlformats.org/spreadsheetml/2006/main" name="16_06_145" connectionId="268" autoFormatId="16" applyNumberFormats="0" applyBorderFormats="0" applyFontFormats="0" applyPatternFormats="0" applyAlignmentFormats="0" applyWidthHeightFormats="0"/>
</file>

<file path=xl/queryTables/queryTable316.xml><?xml version="1.0" encoding="utf-8"?>
<queryTable xmlns="http://schemas.openxmlformats.org/spreadsheetml/2006/main" name="16_06_42" connectionId="240" autoFormatId="16" applyNumberFormats="0" applyBorderFormats="0" applyFontFormats="0" applyPatternFormats="0" applyAlignmentFormats="0" applyWidthHeightFormats="0"/>
</file>

<file path=xl/queryTables/queryTable317.xml><?xml version="1.0" encoding="utf-8"?>
<queryTable xmlns="http://schemas.openxmlformats.org/spreadsheetml/2006/main" name="16_06_188" connectionId="158" autoFormatId="16" applyNumberFormats="0" applyBorderFormats="0" applyFontFormats="0" applyPatternFormats="0" applyAlignmentFormats="0" applyWidthHeightFormats="0"/>
</file>

<file path=xl/queryTables/queryTable318.xml><?xml version="1.0" encoding="utf-8"?>
<queryTable xmlns="http://schemas.openxmlformats.org/spreadsheetml/2006/main" name="16_06_174" connectionId="192" autoFormatId="16" applyNumberFormats="0" applyBorderFormats="0" applyFontFormats="0" applyPatternFormats="0" applyAlignmentFormats="0" applyWidthHeightFormats="0"/>
</file>

<file path=xl/queryTables/queryTable319.xml><?xml version="1.0" encoding="utf-8"?>
<queryTable xmlns="http://schemas.openxmlformats.org/spreadsheetml/2006/main" name="16_06_139" connectionId="108" autoFormatId="16" applyNumberFormats="0" applyBorderFormats="0" applyFontFormats="0" applyPatternFormats="0" applyAlignmentFormats="0" applyWidthHeightFormats="0"/>
</file>

<file path=xl/queryTables/queryTable320.xml><?xml version="1.0" encoding="utf-8"?>
<queryTable xmlns="http://schemas.openxmlformats.org/spreadsheetml/2006/main" name="16_06_171" connectionId="34" autoFormatId="16" applyNumberFormats="0" applyBorderFormats="0" applyFontFormats="0" applyPatternFormats="0" applyAlignmentFormats="0" applyWidthHeightFormats="0"/>
</file>

<file path=xl/queryTables/queryTable321.xml><?xml version="1.0" encoding="utf-8"?>
<queryTable xmlns="http://schemas.openxmlformats.org/spreadsheetml/2006/main" name="16_06_230" connectionId="106" autoFormatId="16" applyNumberFormats="0" applyBorderFormats="0" applyFontFormats="0" applyPatternFormats="0" applyAlignmentFormats="0" applyWidthHeightFormats="0"/>
</file>

<file path=xl/queryTables/queryTable322.xml><?xml version="1.0" encoding="utf-8"?>
<queryTable xmlns="http://schemas.openxmlformats.org/spreadsheetml/2006/main" name="16_06_123" connectionId="66" autoFormatId="16" applyNumberFormats="0" applyBorderFormats="0" applyFontFormats="0" applyPatternFormats="0" applyAlignmentFormats="0" applyWidthHeightFormats="0"/>
</file>

<file path=xl/queryTables/queryTable323.xml><?xml version="1.0" encoding="utf-8"?>
<queryTable xmlns="http://schemas.openxmlformats.org/spreadsheetml/2006/main" name="16_06_66" connectionId="144" autoFormatId="16" applyNumberFormats="0" applyBorderFormats="0" applyFontFormats="0" applyPatternFormats="0" applyAlignmentFormats="0" applyWidthHeightFormats="0"/>
</file>

<file path=xl/queryTables/queryTable324.xml><?xml version="1.0" encoding="utf-8"?>
<queryTable xmlns="http://schemas.openxmlformats.org/spreadsheetml/2006/main" name="16_06_97" connectionId="199" autoFormatId="16" applyNumberFormats="0" applyBorderFormats="0" applyFontFormats="0" applyPatternFormats="0" applyAlignmentFormats="0" applyWidthHeightFormats="0"/>
</file>

<file path=xl/queryTables/queryTable325.xml><?xml version="1.0" encoding="utf-8"?>
<queryTable xmlns="http://schemas.openxmlformats.org/spreadsheetml/2006/main" name="16_06_23" connectionId="143" autoFormatId="16" applyNumberFormats="0" applyBorderFormats="0" applyFontFormats="0" applyPatternFormats="0" applyAlignmentFormats="0" applyWidthHeightFormats="0"/>
</file>

<file path=xl/queryTables/queryTable326.xml><?xml version="1.0" encoding="utf-8"?>
<queryTable xmlns="http://schemas.openxmlformats.org/spreadsheetml/2006/main" name="16_06_201" connectionId="187" autoFormatId="16" applyNumberFormats="0" applyBorderFormats="0" applyFontFormats="0" applyPatternFormats="0" applyAlignmentFormats="0" applyWidthHeightFormats="0"/>
</file>

<file path=xl/queryTables/queryTable327.xml><?xml version="1.0" encoding="utf-8"?>
<queryTable xmlns="http://schemas.openxmlformats.org/spreadsheetml/2006/main" name="16_06_136" connectionId="222" autoFormatId="16" applyNumberFormats="0" applyBorderFormats="0" applyFontFormats="0" applyPatternFormats="0" applyAlignmentFormats="0" applyWidthHeightFormats="0"/>
</file>

<file path=xl/queryTables/queryTable328.xml><?xml version="1.0" encoding="utf-8"?>
<queryTable xmlns="http://schemas.openxmlformats.org/spreadsheetml/2006/main" name="16_06_143" connectionId="157" autoFormatId="16" applyNumberFormats="0" applyBorderFormats="0" applyFontFormats="0" applyPatternFormats="0" applyAlignmentFormats="0" applyWidthHeightFormats="0"/>
</file>

<file path=xl/queryTables/queryTable329.xml><?xml version="1.0" encoding="utf-8"?>
<queryTable xmlns="http://schemas.openxmlformats.org/spreadsheetml/2006/main" name="16_06_47" connectionId="437" autoFormatId="16" applyNumberFormats="0" applyBorderFormats="0" applyFontFormats="0" applyPatternFormats="0" applyAlignmentFormats="0" applyWidthHeightFormats="0"/>
</file>

<file path=xl/queryTables/queryTable330.xml><?xml version="1.0" encoding="utf-8"?>
<queryTable xmlns="http://schemas.openxmlformats.org/spreadsheetml/2006/main" name="16_06_86" connectionId="244" autoFormatId="16" applyNumberFormats="0" applyBorderFormats="0" applyFontFormats="0" applyPatternFormats="0" applyAlignmentFormats="0" applyWidthHeightFormats="0"/>
</file>

<file path=xl/queryTables/queryTable331.xml><?xml version="1.0" encoding="utf-8"?>
<queryTable xmlns="http://schemas.openxmlformats.org/spreadsheetml/2006/main" name="16_06_55" connectionId="308" autoFormatId="16" applyNumberFormats="0" applyBorderFormats="0" applyFontFormats="0" applyPatternFormats="0" applyAlignmentFormats="0" applyWidthHeightFormats="0"/>
</file>

<file path=xl/queryTables/queryTable332.xml><?xml version="1.0" encoding="utf-8"?>
<queryTable xmlns="http://schemas.openxmlformats.org/spreadsheetml/2006/main" name="16_06_102" connectionId="333" autoFormatId="16" applyNumberFormats="0" applyBorderFormats="0" applyFontFormats="0" applyPatternFormats="0" applyAlignmentFormats="0" applyWidthHeightFormats="0"/>
</file>

<file path=xl/queryTables/queryTable333.xml><?xml version="1.0" encoding="utf-8"?>
<queryTable xmlns="http://schemas.openxmlformats.org/spreadsheetml/2006/main" name="16_06_93" connectionId="168" autoFormatId="16" applyNumberFormats="0" applyBorderFormats="0" applyFontFormats="0" applyPatternFormats="0" applyAlignmentFormats="0" applyWidthHeightFormats="0"/>
</file>

<file path=xl/queryTables/queryTable334.xml><?xml version="1.0" encoding="utf-8"?>
<queryTable xmlns="http://schemas.openxmlformats.org/spreadsheetml/2006/main" name="16_06_31" connectionId="131" autoFormatId="16" applyNumberFormats="0" applyBorderFormats="0" applyFontFormats="0" applyPatternFormats="0" applyAlignmentFormats="0" applyWidthHeightFormats="0"/>
</file>

<file path=xl/queryTables/queryTable335.xml><?xml version="1.0" encoding="utf-8"?>
<queryTable xmlns="http://schemas.openxmlformats.org/spreadsheetml/2006/main" name="16_06_235" connectionId="444" autoFormatId="16" applyNumberFormats="0" applyBorderFormats="0" applyFontFormats="0" applyPatternFormats="0" applyAlignmentFormats="0" applyWidthHeightFormats="0"/>
</file>

<file path=xl/queryTables/queryTable336.xml><?xml version="1.0" encoding="utf-8"?>
<queryTable xmlns="http://schemas.openxmlformats.org/spreadsheetml/2006/main" name="16_06_29" connectionId="103" autoFormatId="16" applyNumberFormats="0" applyBorderFormats="0" applyFontFormats="0" applyPatternFormats="0" applyAlignmentFormats="0" applyWidthHeightFormats="0"/>
</file>

<file path=xl/queryTables/queryTable337.xml><?xml version="1.0" encoding="utf-8"?>
<queryTable xmlns="http://schemas.openxmlformats.org/spreadsheetml/2006/main" name="16_06_152" connectionId="335" autoFormatId="16" applyNumberFormats="0" applyBorderFormats="0" applyFontFormats="0" applyPatternFormats="0" applyAlignmentFormats="0" applyWidthHeightFormats="0"/>
</file>

<file path=xl/queryTables/queryTable338.xml><?xml version="1.0" encoding="utf-8"?>
<queryTable xmlns="http://schemas.openxmlformats.org/spreadsheetml/2006/main" name="16_06_225" connectionId="251" autoFormatId="16" applyNumberFormats="0" applyBorderFormats="0" applyFontFormats="0" applyPatternFormats="0" applyAlignmentFormats="0" applyWidthHeightFormats="0"/>
</file>

<file path=xl/queryTables/queryTable339.xml><?xml version="1.0" encoding="utf-8"?>
<queryTable xmlns="http://schemas.openxmlformats.org/spreadsheetml/2006/main" name="16_06_118" connectionId="411" autoFormatId="16" applyNumberFormats="0" applyBorderFormats="0" applyFontFormats="0" applyPatternFormats="0" applyAlignmentFormats="0" applyWidthHeightFormats="0"/>
</file>

<file path=xl/queryTables/queryTable340.xml><?xml version="1.0" encoding="utf-8"?>
<queryTable xmlns="http://schemas.openxmlformats.org/spreadsheetml/2006/main" name="16_06_27" connectionId="430" autoFormatId="16" applyNumberFormats="0" applyBorderFormats="0" applyFontFormats="0" applyPatternFormats="0" applyAlignmentFormats="0" applyWidthHeightFormats="0"/>
</file>

<file path=xl/queryTables/queryTable341.xml><?xml version="1.0" encoding="utf-8"?>
<queryTable xmlns="http://schemas.openxmlformats.org/spreadsheetml/2006/main" name="16_06_186" connectionId="315" autoFormatId="16" applyNumberFormats="0" applyBorderFormats="0" applyFontFormats="0" applyPatternFormats="0" applyAlignmentFormats="0" applyWidthHeightFormats="0"/>
</file>

<file path=xl/queryTables/queryTable342.xml><?xml version="1.0" encoding="utf-8"?>
<queryTable xmlns="http://schemas.openxmlformats.org/spreadsheetml/2006/main" name="16_06_164" connectionId="136" autoFormatId="16" applyNumberFormats="0" applyBorderFormats="0" applyFontFormats="0" applyPatternFormats="0" applyAlignmentFormats="0" applyWidthHeightFormats="0"/>
</file>

<file path=xl/queryTables/queryTable343.xml><?xml version="1.0" encoding="utf-8"?>
<queryTable xmlns="http://schemas.openxmlformats.org/spreadsheetml/2006/main" name="16_06_103" connectionId="84" autoFormatId="16" applyNumberFormats="0" applyBorderFormats="0" applyFontFormats="0" applyPatternFormats="0" applyAlignmentFormats="0" applyWidthHeightFormats="0"/>
</file>

<file path=xl/queryTables/queryTable344.xml><?xml version="1.0" encoding="utf-8"?>
<queryTable xmlns="http://schemas.openxmlformats.org/spreadsheetml/2006/main" name="16_06_226" connectionId="392" autoFormatId="16" applyNumberFormats="0" applyBorderFormats="0" applyFontFormats="0" applyPatternFormats="0" applyAlignmentFormats="0" applyWidthHeightFormats="0"/>
</file>

<file path=xl/queryTables/queryTable345.xml><?xml version="1.0" encoding="utf-8"?>
<queryTable xmlns="http://schemas.openxmlformats.org/spreadsheetml/2006/main" name="16_06_232" connectionId="287" autoFormatId="16" applyNumberFormats="0" applyBorderFormats="0" applyFontFormats="0" applyPatternFormats="0" applyAlignmentFormats="0" applyWidthHeightFormats="0"/>
</file>

<file path=xl/queryTables/queryTable346.xml><?xml version="1.0" encoding="utf-8"?>
<queryTable xmlns="http://schemas.openxmlformats.org/spreadsheetml/2006/main" name="16_06_217" connectionId="342" autoFormatId="16" applyNumberFormats="0" applyBorderFormats="0" applyFontFormats="0" applyPatternFormats="0" applyAlignmentFormats="0" applyWidthHeightFormats="0"/>
</file>

<file path=xl/queryTables/queryTable347.xml><?xml version="1.0" encoding="utf-8"?>
<queryTable xmlns="http://schemas.openxmlformats.org/spreadsheetml/2006/main" name="16_06_148" connectionId="40" autoFormatId="16" applyNumberFormats="0" applyBorderFormats="0" applyFontFormats="0" applyPatternFormats="0" applyAlignmentFormats="0" applyWidthHeightFormats="0"/>
</file>

<file path=xl/queryTables/queryTable348.xml><?xml version="1.0" encoding="utf-8"?>
<queryTable xmlns="http://schemas.openxmlformats.org/spreadsheetml/2006/main" name="16_06_32" connectionId="294" autoFormatId="16" applyNumberFormats="0" applyBorderFormats="0" applyFontFormats="0" applyPatternFormats="0" applyAlignmentFormats="0" applyWidthHeightFormats="0"/>
</file>

<file path=xl/queryTables/queryTable349.xml><?xml version="1.0" encoding="utf-8"?>
<queryTable xmlns="http://schemas.openxmlformats.org/spreadsheetml/2006/main" name="16_06_116" connectionId="190" autoFormatId="16" applyNumberFormats="0" applyBorderFormats="0" applyFontFormats="0" applyPatternFormats="0" applyAlignmentFormats="0" applyWidthHeightFormats="0"/>
</file>

<file path=xl/queryTables/queryTable350.xml><?xml version="1.0" encoding="utf-8"?>
<queryTable xmlns="http://schemas.openxmlformats.org/spreadsheetml/2006/main" name="16_06_121" connectionId="404" autoFormatId="16" applyNumberFormats="0" applyBorderFormats="0" applyFontFormats="0" applyPatternFormats="0" applyAlignmentFormats="0" applyWidthHeightFormats="0"/>
</file>

<file path=xl/queryTables/queryTable351.xml><?xml version="1.0" encoding="utf-8"?>
<queryTable xmlns="http://schemas.openxmlformats.org/spreadsheetml/2006/main" name="16_06_73" connectionId="281" autoFormatId="16" applyNumberFormats="0" applyBorderFormats="0" applyFontFormats="0" applyPatternFormats="0" applyAlignmentFormats="0" applyWidthHeightFormats="0"/>
</file>

<file path=xl/queryTables/queryTable352.xml><?xml version="1.0" encoding="utf-8"?>
<queryTable xmlns="http://schemas.openxmlformats.org/spreadsheetml/2006/main" name="16_06_75" connectionId="14" autoFormatId="16" applyNumberFormats="0" applyBorderFormats="0" applyFontFormats="0" applyPatternFormats="0" applyAlignmentFormats="0" applyWidthHeightFormats="0"/>
</file>

<file path=xl/queryTables/queryTable353.xml><?xml version="1.0" encoding="utf-8"?>
<queryTable xmlns="http://schemas.openxmlformats.org/spreadsheetml/2006/main" name="16_06_213" connectionId="300" autoFormatId="16" applyNumberFormats="0" applyBorderFormats="0" applyFontFormats="0" applyPatternFormats="0" applyAlignmentFormats="0" applyWidthHeightFormats="0"/>
</file>

<file path=xl/queryTables/queryTable354.xml><?xml version="1.0" encoding="utf-8"?>
<queryTable xmlns="http://schemas.openxmlformats.org/spreadsheetml/2006/main" name="16_06_206" connectionId="269" autoFormatId="16" applyNumberFormats="0" applyBorderFormats="0" applyFontFormats="0" applyPatternFormats="0" applyAlignmentFormats="0" applyWidthHeightFormats="0"/>
</file>

<file path=xl/queryTables/queryTable355.xml><?xml version="1.0" encoding="utf-8"?>
<queryTable xmlns="http://schemas.openxmlformats.org/spreadsheetml/2006/main" name="16_06_228" connectionId="202" autoFormatId="16" applyNumberFormats="0" applyBorderFormats="0" applyFontFormats="0" applyPatternFormats="0" applyAlignmentFormats="0" applyWidthHeightFormats="0"/>
</file>

<file path=xl/queryTables/queryTable356.xml><?xml version="1.0" encoding="utf-8"?>
<queryTable xmlns="http://schemas.openxmlformats.org/spreadsheetml/2006/main" name="16_06_28" connectionId="358" autoFormatId="16" applyNumberFormats="0" applyBorderFormats="0" applyFontFormats="0" applyPatternFormats="0" applyAlignmentFormats="0" applyWidthHeightFormats="0"/>
</file>

<file path=xl/queryTables/queryTable357.xml><?xml version="1.0" encoding="utf-8"?>
<queryTable xmlns="http://schemas.openxmlformats.org/spreadsheetml/2006/main" name="16_06_53" connectionId="151" autoFormatId="16" applyNumberFormats="0" applyBorderFormats="0" applyFontFormats="0" applyPatternFormats="0" applyAlignmentFormats="0" applyWidthHeightFormats="0"/>
</file>

<file path=xl/queryTables/queryTable358.xml><?xml version="1.0" encoding="utf-8"?>
<queryTable xmlns="http://schemas.openxmlformats.org/spreadsheetml/2006/main" name="16_06_40" connectionId="336" autoFormatId="16" applyNumberFormats="0" applyBorderFormats="0" applyFontFormats="0" applyPatternFormats="0" applyAlignmentFormats="0" applyWidthHeightFormats="0"/>
</file>

<file path=xl/queryTables/queryTable359.xml><?xml version="1.0" encoding="utf-8"?>
<queryTable xmlns="http://schemas.openxmlformats.org/spreadsheetml/2006/main" name="16_06_140" connectionId="170" autoFormatId="16" applyNumberFormats="0" applyBorderFormats="0" applyFontFormats="0" applyPatternFormats="0" applyAlignmentFormats="0" applyWidthHeightFormats="0"/>
</file>

<file path=xl/queryTables/queryTable360.xml><?xml version="1.0" encoding="utf-8"?>
<queryTable xmlns="http://schemas.openxmlformats.org/spreadsheetml/2006/main" name="16_06_35" connectionId="159" autoFormatId="16" applyNumberFormats="0" applyBorderFormats="0" applyFontFormats="0" applyPatternFormats="0" applyAlignmentFormats="0" applyWidthHeightFormats="0"/>
</file>

<file path=xl/queryTables/queryTable361.xml><?xml version="1.0" encoding="utf-8"?>
<queryTable xmlns="http://schemas.openxmlformats.org/spreadsheetml/2006/main" name="16_06_26" connectionId="203" autoFormatId="16" applyNumberFormats="0" applyBorderFormats="0" applyFontFormats="0" applyPatternFormats="0" applyAlignmentFormats="0" applyWidthHeightFormats="0"/>
</file>

<file path=xl/queryTables/queryTable362.xml><?xml version="1.0" encoding="utf-8"?>
<queryTable xmlns="http://schemas.openxmlformats.org/spreadsheetml/2006/main" name="16_06_49" connectionId="110" autoFormatId="16" applyNumberFormats="0" applyBorderFormats="0" applyFontFormats="0" applyPatternFormats="0" applyAlignmentFormats="0" applyWidthHeightFormats="0"/>
</file>

<file path=xl/queryTables/queryTable363.xml><?xml version="1.0" encoding="utf-8"?>
<queryTable xmlns="http://schemas.openxmlformats.org/spreadsheetml/2006/main" name="16_06_62" connectionId="211" autoFormatId="16" applyNumberFormats="0" applyBorderFormats="0" applyFontFormats="0" applyPatternFormats="0" applyAlignmentFormats="0" applyWidthHeightFormats="0"/>
</file>

<file path=xl/queryTables/queryTable364.xml><?xml version="1.0" encoding="utf-8"?>
<queryTable xmlns="http://schemas.openxmlformats.org/spreadsheetml/2006/main" name="16_06_76" connectionId="324" autoFormatId="16" applyNumberFormats="0" applyBorderFormats="0" applyFontFormats="0" applyPatternFormats="0" applyAlignmentFormats="0" applyWidthHeightFormats="0"/>
</file>

<file path=xl/queryTables/queryTable365.xml><?xml version="1.0" encoding="utf-8"?>
<queryTable xmlns="http://schemas.openxmlformats.org/spreadsheetml/2006/main" name="16_06_57" connectionId="422" autoFormatId="16" applyNumberFormats="0" applyBorderFormats="0" applyFontFormats="0" applyPatternFormats="0" applyAlignmentFormats="0" applyWidthHeightFormats="0"/>
</file>

<file path=xl/queryTables/queryTable366.xml><?xml version="1.0" encoding="utf-8"?>
<queryTable xmlns="http://schemas.openxmlformats.org/spreadsheetml/2006/main" name="16_06_130" connectionId="179" autoFormatId="16" applyNumberFormats="0" applyBorderFormats="0" applyFontFormats="0" applyPatternFormats="0" applyAlignmentFormats="0" applyWidthHeightFormats="0"/>
</file>

<file path=xl/queryTables/queryTable367.xml><?xml version="1.0" encoding="utf-8"?>
<queryTable xmlns="http://schemas.openxmlformats.org/spreadsheetml/2006/main" name="16_06_137" connectionId="377" autoFormatId="16" applyNumberFormats="0" applyBorderFormats="0" applyFontFormats="0" applyPatternFormats="0" applyAlignmentFormats="0" applyWidthHeightFormats="0"/>
</file>

<file path=xl/queryTables/queryTable368.xml><?xml version="1.0" encoding="utf-8"?>
<queryTable xmlns="http://schemas.openxmlformats.org/spreadsheetml/2006/main" name="16_06_234" connectionId="327" autoFormatId="16" applyNumberFormats="0" applyBorderFormats="0" applyFontFormats="0" applyPatternFormats="0" applyAlignmentFormats="0" applyWidthHeightFormats="0"/>
</file>

<file path=xl/queryTables/queryTable369.xml><?xml version="1.0" encoding="utf-8"?>
<queryTable xmlns="http://schemas.openxmlformats.org/spreadsheetml/2006/main" name="16_06_161" connectionId="142" autoFormatId="16" applyNumberFormats="0" applyBorderFormats="0" applyFontFormats="0" applyPatternFormats="0" applyAlignmentFormats="0" applyWidthHeightFormats="0"/>
</file>

<file path=xl/queryTables/queryTable370.xml><?xml version="1.0" encoding="utf-8"?>
<queryTable xmlns="http://schemas.openxmlformats.org/spreadsheetml/2006/main" name="16_06_154" connectionId="363" autoFormatId="16" applyNumberFormats="0" applyBorderFormats="0" applyFontFormats="0" applyPatternFormats="0" applyAlignmentFormats="0" applyWidthHeightFormats="0"/>
</file>

<file path=xl/queryTables/queryTable371.xml><?xml version="1.0" encoding="utf-8"?>
<queryTable xmlns="http://schemas.openxmlformats.org/spreadsheetml/2006/main" name="1317755739475482419-13_07_24" connectionId="3" autoFormatId="16" applyNumberFormats="0" applyBorderFormats="0" applyFontFormats="0" applyPatternFormats="0" applyAlignmentFormats="0" applyWidthHeightFormats="0"/>
</file>

<file path=xl/queryTables/queryTable372.xml><?xml version="1.0" encoding="utf-8"?>
<queryTable xmlns="http://schemas.openxmlformats.org/spreadsheetml/2006/main" name="16_06_197" connectionId="137" autoFormatId="16" applyNumberFormats="0" applyBorderFormats="0" applyFontFormats="0" applyPatternFormats="0" applyAlignmentFormats="0" applyWidthHeightFormats="0"/>
</file>

<file path=xl/queryTables/queryTable373.xml><?xml version="1.0" encoding="utf-8"?>
<queryTable xmlns="http://schemas.openxmlformats.org/spreadsheetml/2006/main" name="16_06_184" connectionId="27" autoFormatId="16" applyNumberFormats="0" applyBorderFormats="0" applyFontFormats="0" applyPatternFormats="0" applyAlignmentFormats="0" applyWidthHeightFormats="0"/>
</file>

<file path=xl/queryTables/queryTable374.xml><?xml version="1.0" encoding="utf-8"?>
<queryTable xmlns="http://schemas.openxmlformats.org/spreadsheetml/2006/main" name="16_06_67" connectionId="124" autoFormatId="16" applyNumberFormats="0" applyBorderFormats="0" applyFontFormats="0" applyPatternFormats="0" applyAlignmentFormats="0" applyWidthHeightFormats="0"/>
</file>

<file path=xl/queryTables/queryTable375.xml><?xml version="1.0" encoding="utf-8"?>
<queryTable xmlns="http://schemas.openxmlformats.org/spreadsheetml/2006/main" name="16_06_77" connectionId="309" autoFormatId="16" applyNumberFormats="0" applyBorderFormats="0" applyFontFormats="0" applyPatternFormats="0" applyAlignmentFormats="0" applyWidthHeightFormats="0"/>
</file>

<file path=xl/queryTables/queryTable376.xml><?xml version="1.0" encoding="utf-8"?>
<queryTable xmlns="http://schemas.openxmlformats.org/spreadsheetml/2006/main" name="16_06_187" connectionId="117" autoFormatId="16" applyNumberFormats="0" applyBorderFormats="0" applyFontFormats="0" applyPatternFormats="0" applyAlignmentFormats="0" applyWidthHeightFormats="0"/>
</file>

<file path=xl/queryTables/queryTable377.xml><?xml version="1.0" encoding="utf-8"?>
<queryTable xmlns="http://schemas.openxmlformats.org/spreadsheetml/2006/main" name="16_06_120" connectionId="184" autoFormatId="16" applyNumberFormats="0" applyBorderFormats="0" applyFontFormats="0" applyPatternFormats="0" applyAlignmentFormats="0" applyWidthHeightFormats="0"/>
</file>

<file path=xl/queryTables/queryTable378.xml><?xml version="1.0" encoding="utf-8"?>
<queryTable xmlns="http://schemas.openxmlformats.org/spreadsheetml/2006/main" name="16_06_80" connectionId="366" autoFormatId="16" applyNumberFormats="0" applyBorderFormats="0" applyFontFormats="0" applyPatternFormats="0" applyAlignmentFormats="0" applyWidthHeightFormats="0"/>
</file>

<file path=xl/queryTables/queryTable379.xml><?xml version="1.0" encoding="utf-8"?>
<queryTable xmlns="http://schemas.openxmlformats.org/spreadsheetml/2006/main" name="16_06_227" connectionId="87" autoFormatId="16" applyNumberFormats="0" applyBorderFormats="0" applyFontFormats="0" applyPatternFormats="0" applyAlignmentFormats="0" applyWidthHeightFormats="0"/>
</file>

<file path=xl/queryTables/queryTable380.xml><?xml version="1.0" encoding="utf-8"?>
<queryTable xmlns="http://schemas.openxmlformats.org/spreadsheetml/2006/main" name="16_06_65" connectionId="29" autoFormatId="16" applyNumberFormats="0" applyBorderFormats="0" applyFontFormats="0" applyPatternFormats="0" applyAlignmentFormats="0" applyWidthHeightFormats="0"/>
</file>

<file path=xl/queryTables/queryTable381.xml><?xml version="1.0" encoding="utf-8"?>
<queryTable xmlns="http://schemas.openxmlformats.org/spreadsheetml/2006/main" name="16_06_96" connectionId="155" autoFormatId="16" applyNumberFormats="0" applyBorderFormats="0" applyFontFormats="0" applyPatternFormats="0" applyAlignmentFormats="0" applyWidthHeightFormats="0"/>
</file>

<file path=xl/queryTables/queryTable382.xml><?xml version="1.0" encoding="utf-8"?>
<queryTable xmlns="http://schemas.openxmlformats.org/spreadsheetml/2006/main" name="16_06_169" connectionId="356" autoFormatId="16" applyNumberFormats="0" applyBorderFormats="0" applyFontFormats="0" applyPatternFormats="0" applyAlignmentFormats="0" applyWidthHeightFormats="0"/>
</file>

<file path=xl/queryTables/queryTable383.xml><?xml version="1.0" encoding="utf-8"?>
<queryTable xmlns="http://schemas.openxmlformats.org/spreadsheetml/2006/main" name="16_06_153" connectionId="86" autoFormatId="16" applyNumberFormats="0" applyBorderFormats="0" applyFontFormats="0" applyPatternFormats="0" applyAlignmentFormats="0" applyWidthHeightFormats="0"/>
</file>

<file path=xl/queryTables/queryTable384.xml><?xml version="1.0" encoding="utf-8"?>
<queryTable xmlns="http://schemas.openxmlformats.org/spreadsheetml/2006/main" name="16_06_212" connectionId="214" autoFormatId="16" applyNumberFormats="0" applyBorderFormats="0" applyFontFormats="0" applyPatternFormats="0" applyAlignmentFormats="0" applyWidthHeightFormats="0"/>
</file>

<file path=xl/queryTables/queryTable385.xml><?xml version="1.0" encoding="utf-8"?>
<queryTable xmlns="http://schemas.openxmlformats.org/spreadsheetml/2006/main" name="16_06_91" connectionId="375" autoFormatId="16" applyNumberFormats="0" applyBorderFormats="0" applyFontFormats="0" applyPatternFormats="0" applyAlignmentFormats="0" applyWidthHeightFormats="0"/>
</file>

<file path=xl/queryTables/queryTable386.xml><?xml version="1.0" encoding="utf-8"?>
<queryTable xmlns="http://schemas.openxmlformats.org/spreadsheetml/2006/main" name="16_06_50" connectionId="400" autoFormatId="16" applyNumberFormats="0" applyBorderFormats="0" applyFontFormats="0" applyPatternFormats="0" applyAlignmentFormats="0" applyWidthHeightFormats="0"/>
</file>

<file path=xl/queryTables/queryTable387.xml><?xml version="1.0" encoding="utf-8"?>
<queryTable xmlns="http://schemas.openxmlformats.org/spreadsheetml/2006/main" name="16_06_173" connectionId="347" autoFormatId="16" applyNumberFormats="0" applyBorderFormats="0" applyFontFormats="0" applyPatternFormats="0" applyAlignmentFormats="0" applyWidthHeightFormats="0"/>
</file>

<file path=xl/queryTables/queryTable388.xml><?xml version="1.0" encoding="utf-8"?>
<queryTable xmlns="http://schemas.openxmlformats.org/spreadsheetml/2006/main" name="16_06_124" connectionId="314" autoFormatId="16" applyNumberFormats="0" applyBorderFormats="0" applyFontFormats="0" applyPatternFormats="0" applyAlignmentFormats="0" applyWidthHeightFormats="0"/>
</file>

<file path=xl/queryTables/queryTable389.xml><?xml version="1.0" encoding="utf-8"?>
<queryTable xmlns="http://schemas.openxmlformats.org/spreadsheetml/2006/main" name="16_06_127" connectionId="274" autoFormatId="16" applyNumberFormats="0" applyBorderFormats="0" applyFontFormats="0" applyPatternFormats="0" applyAlignmentFormats="0" applyWidthHeightFormats="0"/>
</file>

<file path=xl/queryTables/queryTable390.xml><?xml version="1.0" encoding="utf-8"?>
<queryTable xmlns="http://schemas.openxmlformats.org/spreadsheetml/2006/main" name="16_06_59" connectionId="95" autoFormatId="16" applyNumberFormats="0" applyBorderFormats="0" applyFontFormats="0" applyPatternFormats="0" applyAlignmentFormats="0" applyWidthHeightFormats="0"/>
</file>

<file path=xl/queryTables/queryTable391.xml><?xml version="1.0" encoding="utf-8"?>
<queryTable xmlns="http://schemas.openxmlformats.org/spreadsheetml/2006/main" name="16_06_224" connectionId="254" autoFormatId="16" applyNumberFormats="0" applyBorderFormats="0" applyFontFormats="0" applyPatternFormats="0" applyAlignmentFormats="0" applyWidthHeightFormats="0"/>
</file>

<file path=xl/queryTables/queryTable392.xml><?xml version="1.0" encoding="utf-8"?>
<queryTable xmlns="http://schemas.openxmlformats.org/spreadsheetml/2006/main" name="1317755739475482419-13_07_26" connectionId="6" autoFormatId="16" applyNumberFormats="0" applyBorderFormats="0" applyFontFormats="0" applyPatternFormats="0" applyAlignmentFormats="0" applyWidthHeightFormats="0"/>
</file>

<file path=xl/queryTables/queryTable393.xml><?xml version="1.0" encoding="utf-8"?>
<queryTable xmlns="http://schemas.openxmlformats.org/spreadsheetml/2006/main" name="16_06_72" connectionId="181" autoFormatId="16" applyNumberFormats="0" applyBorderFormats="0" applyFontFormats="0" applyPatternFormats="0" applyAlignmentFormats="0" applyWidthHeightFormats="0"/>
</file>

<file path=xl/queryTables/queryTable394.xml><?xml version="1.0" encoding="utf-8"?>
<queryTable xmlns="http://schemas.openxmlformats.org/spreadsheetml/2006/main" name="16_06_25" connectionId="21" autoFormatId="16" applyNumberFormats="0" applyBorderFormats="0" applyFontFormats="0" applyPatternFormats="0" applyAlignmentFormats="0" applyWidthHeightFormats="0"/>
</file>

<file path=xl/queryTables/queryTable395.xml><?xml version="1.0" encoding="utf-8"?>
<queryTable xmlns="http://schemas.openxmlformats.org/spreadsheetml/2006/main" name="16_06_151" connectionId="449" autoFormatId="16" applyNumberFormats="0" applyBorderFormats="0" applyFontFormats="0" applyPatternFormats="0" applyAlignmentFormats="0" applyWidthHeightFormats="0"/>
</file>

<file path=xl/queryTables/queryTable396.xml><?xml version="1.0" encoding="utf-8"?>
<queryTable xmlns="http://schemas.openxmlformats.org/spreadsheetml/2006/main" name="16_06_83" connectionId="50" autoFormatId="16" applyNumberFormats="0" applyBorderFormats="0" applyFontFormats="0" applyPatternFormats="0" applyAlignmentFormats="0" applyWidthHeightFormats="0"/>
</file>

<file path=xl/queryTables/queryTable397.xml><?xml version="1.0" encoding="utf-8"?>
<queryTable xmlns="http://schemas.openxmlformats.org/spreadsheetml/2006/main" name="16_06_113" connectionId="319" autoFormatId="16" applyNumberFormats="0" applyBorderFormats="0" applyFontFormats="0" applyPatternFormats="0" applyAlignmentFormats="0" applyWidthHeightFormats="0"/>
</file>

<file path=xl/queryTables/queryTable398.xml><?xml version="1.0" encoding="utf-8"?>
<queryTable xmlns="http://schemas.openxmlformats.org/spreadsheetml/2006/main" name="16_06_69" connectionId="196" autoFormatId="16" applyNumberFormats="0" applyBorderFormats="0" applyFontFormats="0" applyPatternFormats="0" applyAlignmentFormats="0" applyWidthHeightFormats="0"/>
</file>

<file path=xl/queryTables/queryTable399.xml><?xml version="1.0" encoding="utf-8"?>
<queryTable xmlns="http://schemas.openxmlformats.org/spreadsheetml/2006/main" name="16_06_100" connectionId="417" autoFormatId="16" applyNumberFormats="0" applyBorderFormats="0" applyFontFormats="0" applyPatternFormats="0" applyAlignmentFormats="0" applyWidthHeightFormats="0"/>
</file>

<file path=xl/queryTables/queryTable400.xml><?xml version="1.0" encoding="utf-8"?>
<queryTable xmlns="http://schemas.openxmlformats.org/spreadsheetml/2006/main" name="16_06_79" connectionId="152" autoFormatId="16" applyNumberFormats="0" applyBorderFormats="0" applyFontFormats="0" applyPatternFormats="0" applyAlignmentFormats="0" applyWidthHeightFormats="0"/>
</file>

<file path=xl/queryTables/queryTable401.xml><?xml version="1.0" encoding="utf-8"?>
<queryTable xmlns="http://schemas.openxmlformats.org/spreadsheetml/2006/main" name="16_06_41" connectionId="226" autoFormatId="16" applyNumberFormats="0" applyBorderFormats="0" applyFontFormats="0" applyPatternFormats="0" applyAlignmentFormats="0" applyWidthHeightFormats="0"/>
</file>

<file path=xl/queryTables/queryTable402.xml><?xml version="1.0" encoding="utf-8"?>
<queryTable xmlns="http://schemas.openxmlformats.org/spreadsheetml/2006/main" name="16_06_159" connectionId="92" autoFormatId="16" applyNumberFormats="0" applyBorderFormats="0" applyFontFormats="0" applyPatternFormats="0" applyAlignmentFormats="0" applyWidthHeightFormats="0"/>
</file>

<file path=xl/queryTables/queryTable403.xml><?xml version="1.0" encoding="utf-8"?>
<queryTable xmlns="http://schemas.openxmlformats.org/spreadsheetml/2006/main" name="16_06_52" connectionId="378" autoFormatId="16" applyNumberFormats="0" applyBorderFormats="0" applyFontFormats="0" applyPatternFormats="0" applyAlignmentFormats="0" applyWidthHeightFormats="0"/>
</file>

<file path=xl/queryTables/queryTable404.xml><?xml version="1.0" encoding="utf-8"?>
<queryTable xmlns="http://schemas.openxmlformats.org/spreadsheetml/2006/main" name="16_06_110" connectionId="235" autoFormatId="16" applyNumberFormats="0" applyBorderFormats="0" applyFontFormats="0" applyPatternFormats="0" applyAlignmentFormats="0" applyWidthHeightFormats="0"/>
</file>

<file path=xl/queryTables/queryTable405.xml><?xml version="1.0" encoding="utf-8"?>
<queryTable xmlns="http://schemas.openxmlformats.org/spreadsheetml/2006/main" name="16_06_176" connectionId="413" autoFormatId="16" applyNumberFormats="0" applyBorderFormats="0" applyFontFormats="0" applyPatternFormats="0" applyAlignmentFormats="0" applyWidthHeightFormats="0"/>
</file>

<file path=xl/queryTables/queryTable406.xml><?xml version="1.0" encoding="utf-8"?>
<queryTable xmlns="http://schemas.openxmlformats.org/spreadsheetml/2006/main" name="16_06_88" connectionId="99" autoFormatId="16" applyNumberFormats="0" applyBorderFormats="0" applyFontFormats="0" applyPatternFormats="0" applyAlignmentFormats="0" applyWidthHeightFormats="0"/>
</file>

<file path=xl/queryTables/queryTable407.xml><?xml version="1.0" encoding="utf-8"?>
<queryTable xmlns="http://schemas.openxmlformats.org/spreadsheetml/2006/main" name="16_06_138" connectionId="129" autoFormatId="16" applyNumberFormats="0" applyBorderFormats="0" applyFontFormats="0" applyPatternFormats="0" applyAlignmentFormats="0" applyWidthHeightFormats="0"/>
</file>

<file path=xl/queryTables/queryTable408.xml><?xml version="1.0" encoding="utf-8"?>
<queryTable xmlns="http://schemas.openxmlformats.org/spreadsheetml/2006/main" name="16_06_45" connectionId="323" autoFormatId="16" applyNumberFormats="0" applyBorderFormats="0" applyFontFormats="0" applyPatternFormats="0" applyAlignmentFormats="0" applyWidthHeightFormats="0"/>
</file>

<file path=xl/queryTables/queryTable409.xml><?xml version="1.0" encoding="utf-8"?>
<queryTable xmlns="http://schemas.openxmlformats.org/spreadsheetml/2006/main" name="16_06_191" connectionId="35" autoFormatId="16" applyNumberFormats="0" applyBorderFormats="0" applyFontFormats="0" applyPatternFormats="0" applyAlignmentFormats="0" applyWidthHeightFormats="0"/>
</file>

<file path=xl/queryTables/queryTable410.xml><?xml version="1.0" encoding="utf-8"?>
<queryTable xmlns="http://schemas.openxmlformats.org/spreadsheetml/2006/main" name="16_06_89" connectionId="70" autoFormatId="16" applyNumberFormats="0" applyBorderFormats="0" applyFontFormats="0" applyPatternFormats="0" applyAlignmentFormats="0" applyWidthHeightFormats="0"/>
</file>

<file path=xl/queryTables/queryTable411.xml><?xml version="1.0" encoding="utf-8"?>
<queryTable xmlns="http://schemas.openxmlformats.org/spreadsheetml/2006/main" name="16_06_178" connectionId="186" autoFormatId="16" applyNumberFormats="0" applyBorderFormats="0" applyFontFormats="0" applyPatternFormats="0" applyAlignmentFormats="0" applyWidthHeightFormats="0"/>
</file>

<file path=xl/queryTables/queryTable412.xml><?xml version="1.0" encoding="utf-8"?>
<queryTable xmlns="http://schemas.openxmlformats.org/spreadsheetml/2006/main" name="16_06_215" connectionId="32" autoFormatId="16" applyNumberFormats="0" applyBorderFormats="0" applyFontFormats="0" applyPatternFormats="0" applyAlignmentFormats="0" applyWidthHeightFormats="0"/>
</file>

<file path=xl/queryTables/queryTable413.xml><?xml version="1.0" encoding="utf-8"?>
<queryTable xmlns="http://schemas.openxmlformats.org/spreadsheetml/2006/main" name="16_06_81" connectionId="111" autoFormatId="16" applyNumberFormats="0" applyBorderFormats="0" applyFontFormats="0" applyPatternFormats="0" applyAlignmentFormats="0" applyWidthHeightFormats="0"/>
</file>

<file path=xl/queryTables/queryTable414.xml><?xml version="1.0" encoding="utf-8"?>
<queryTable xmlns="http://schemas.openxmlformats.org/spreadsheetml/2006/main" name="16_06_236" connectionId="329" autoFormatId="16" applyNumberFormats="0" applyBorderFormats="0" applyFontFormats="0" applyPatternFormats="0" applyAlignmentFormats="0" applyWidthHeightFormats="0"/>
</file>

<file path=xl/queryTables/queryTable415.xml><?xml version="1.0" encoding="utf-8"?>
<queryTable xmlns="http://schemas.openxmlformats.org/spreadsheetml/2006/main" name="16_06_112" connectionId="354" autoFormatId="16" applyNumberFormats="0" applyBorderFormats="0" applyFontFormats="0" applyPatternFormats="0" applyAlignmentFormats="0" applyWidthHeightFormats="0"/>
</file>

<file path=xl/queryTables/queryTable416.xml><?xml version="1.0" encoding="utf-8"?>
<queryTable xmlns="http://schemas.openxmlformats.org/spreadsheetml/2006/main" name="16_06_92" connectionId="127" autoFormatId="16" applyNumberFormats="0" applyBorderFormats="0" applyFontFormats="0" applyPatternFormats="0" applyAlignmentFormats="0" applyWidthHeightFormats="0"/>
</file>

<file path=xl/queryTables/queryTable417.xml><?xml version="1.0" encoding="utf-8"?>
<queryTable xmlns="http://schemas.openxmlformats.org/spreadsheetml/2006/main" name="16_06_166" connectionId="116" autoFormatId="16" applyNumberFormats="0" applyBorderFormats="0" applyFontFormats="0" applyPatternFormats="0" applyAlignmentFormats="0" applyWidthHeightFormats="0"/>
</file>

<file path=xl/queryTables/queryTable418.xml><?xml version="1.0" encoding="utf-8"?>
<queryTable xmlns="http://schemas.openxmlformats.org/spreadsheetml/2006/main" name="16_06_160" connectionId="164" autoFormatId="16" applyNumberFormats="0" applyBorderFormats="0" applyFontFormats="0" applyPatternFormats="0" applyAlignmentFormats="0" applyWidthHeightFormats="0"/>
</file>

<file path=xl/queryTables/queryTable419.xml><?xml version="1.0" encoding="utf-8"?>
<queryTable xmlns="http://schemas.openxmlformats.org/spreadsheetml/2006/main" name="16_06_182" connectionId="177" autoFormatId="16" applyNumberFormats="0" applyBorderFormats="0" applyFontFormats="0" applyPatternFormats="0" applyAlignmentFormats="0" applyWidthHeightFormats="0"/>
</file>

<file path=xl/queryTables/queryTable420.xml><?xml version="1.0" encoding="utf-8"?>
<queryTable xmlns="http://schemas.openxmlformats.org/spreadsheetml/2006/main" name="16_06_22" connectionId="248" autoFormatId="16" applyNumberFormats="0" applyBorderFormats="0" applyFontFormats="0" applyPatternFormats="0" applyAlignmentFormats="0" applyWidthHeightFormats="0"/>
</file>

<file path=xl/queryTables/queryTable421.xml><?xml version="1.0" encoding="utf-8"?>
<queryTable xmlns="http://schemas.openxmlformats.org/spreadsheetml/2006/main" name="16_06_61" connectionId="96" autoFormatId="16" applyNumberFormats="0" applyBorderFormats="0" applyFontFormats="0" applyPatternFormats="0" applyAlignmentFormats="0" applyWidthHeightFormats="0"/>
</file>

<file path=xl/queryTables/queryTable422.xml><?xml version="1.0" encoding="utf-8"?>
<queryTable xmlns="http://schemas.openxmlformats.org/spreadsheetml/2006/main" name="16_06_220" connectionId="459" autoFormatId="16" applyNumberFormats="0" applyBorderFormats="0" applyFontFormats="0" applyPatternFormats="0" applyAlignmentFormats="0" applyWidthHeightFormats="0"/>
</file>

<file path=xl/queryTables/queryTable423.xml><?xml version="1.0" encoding="utf-8"?>
<queryTable xmlns="http://schemas.openxmlformats.org/spreadsheetml/2006/main" name="16_06_167" connectionId="341" autoFormatId="16" applyNumberFormats="0" applyBorderFormats="0" applyFontFormats="0" applyPatternFormats="0" applyAlignmentFormats="0" applyWidthHeightFormats="0"/>
</file>

<file path=xl/queryTables/queryTable424.xml><?xml version="1.0" encoding="utf-8"?>
<queryTable xmlns="http://schemas.openxmlformats.org/spreadsheetml/2006/main" name="16_06_195" connectionId="67" autoFormatId="16" applyNumberFormats="0" applyBorderFormats="0" applyFontFormats="0" applyPatternFormats="0" applyAlignmentFormats="0" applyWidthHeightFormats="0"/>
</file>

<file path=xl/queryTables/queryTable425.xml><?xml version="1.0" encoding="utf-8"?>
<queryTable xmlns="http://schemas.openxmlformats.org/spreadsheetml/2006/main" name="16_06_208" connectionId="429" autoFormatId="16" applyNumberFormats="0" applyBorderFormats="0" applyFontFormats="0" applyPatternFormats="0" applyAlignmentFormats="0" applyWidthHeightFormats="0"/>
</file>

<file path=xl/queryTables/queryTable426.xml><?xml version="1.0" encoding="utf-8"?>
<queryTable xmlns="http://schemas.openxmlformats.org/spreadsheetml/2006/main" name="16_06_114" connectionId="17" autoFormatId="16" applyNumberFormats="0" applyBorderFormats="0" applyFontFormats="0" applyPatternFormats="0" applyAlignmentFormats="0" applyWidthHeightFormats="0"/>
</file>

<file path=xl/queryTables/queryTable427.xml><?xml version="1.0" encoding="utf-8"?>
<queryTable xmlns="http://schemas.openxmlformats.org/spreadsheetml/2006/main" name="16_06_221" connectionId="436" autoFormatId="16" applyNumberFormats="0" applyBorderFormats="0" applyFontFormats="0" applyPatternFormats="0" applyAlignmentFormats="0" applyWidthHeightFormats="0"/>
</file>

<file path=xl/queryTables/queryTable428.xml><?xml version="1.0" encoding="utf-8"?>
<queryTable xmlns="http://schemas.openxmlformats.org/spreadsheetml/2006/main" name="16_06_58" connectionId="350" autoFormatId="16" applyNumberFormats="0" applyBorderFormats="0" applyFontFormats="0" applyPatternFormats="0" applyAlignmentFormats="0" applyWidthHeightFormats="0"/>
</file>

<file path=xl/queryTables/queryTable429.xml><?xml version="1.0" encoding="utf-8"?>
<queryTable xmlns="http://schemas.openxmlformats.org/spreadsheetml/2006/main" name="16_06_51" connectionId="123" autoFormatId="16" applyNumberFormats="0" applyBorderFormats="0" applyFontFormats="0" applyPatternFormats="0" applyAlignmentFormats="0" applyWidthHeightFormats="0"/>
</file>

<file path=xl/queryTables/queryTable430.xml><?xml version="1.0" encoding="utf-8"?>
<queryTable xmlns="http://schemas.openxmlformats.org/spreadsheetml/2006/main" name="16_06_37" connectionId="81" autoFormatId="16" applyNumberFormats="0" applyBorderFormats="0" applyFontFormats="0" applyPatternFormats="0" applyAlignmentFormats="0" applyWidthHeightFormats="0"/>
</file>

<file path=xl/queryTables/queryTable431.xml><?xml version="1.0" encoding="utf-8"?>
<queryTable xmlns="http://schemas.openxmlformats.org/spreadsheetml/2006/main" name="16_06_177" connectionId="231" autoFormatId="16" applyNumberFormats="0" applyBorderFormats="0" applyFontFormats="0" applyPatternFormats="0" applyAlignmentFormats="0" applyWidthHeightFormats="0"/>
</file>

<file path=xl/queryTables/queryTable432.xml><?xml version="1.0" encoding="utf-8"?>
<queryTable xmlns="http://schemas.openxmlformats.org/spreadsheetml/2006/main" name="16_06_214" connectionId="369" autoFormatId="16" applyNumberFormats="0" applyBorderFormats="0" applyFontFormats="0" applyPatternFormats="0" applyAlignmentFormats="0" applyWidthHeightFormats="0"/>
</file>

<file path=xl/queryTables/queryTable433.xml><?xml version="1.0" encoding="utf-8"?>
<queryTable xmlns="http://schemas.openxmlformats.org/spreadsheetml/2006/main" name="16_06_87" connectionId="456" autoFormatId="16" applyNumberFormats="0" applyBorderFormats="0" applyFontFormats="0" applyPatternFormats="0" applyAlignmentFormats="0" applyWidthHeightFormats="0"/>
</file>

<file path=xl/queryTables/queryTable434.xml><?xml version="1.0" encoding="utf-8"?>
<queryTable xmlns="http://schemas.openxmlformats.org/spreadsheetml/2006/main" name="16_06_142" connectionId="286" autoFormatId="16" applyNumberFormats="0" applyBorderFormats="0" applyFontFormats="0" applyPatternFormats="0" applyAlignmentFormats="0" applyWidthHeightFormats="0"/>
</file>

<file path=xl/queryTables/queryTable435.xml><?xml version="1.0" encoding="utf-8"?>
<queryTable xmlns="http://schemas.openxmlformats.org/spreadsheetml/2006/main" name="16_06_158" connectionId="428" autoFormatId="16" applyNumberFormats="0" applyBorderFormats="0" applyFontFormats="0" applyPatternFormats="0" applyAlignmentFormats="0" applyWidthHeightFormats="0"/>
</file>

<file path=xl/queryTables/queryTable436.xml><?xml version="1.0" encoding="utf-8"?>
<queryTable xmlns="http://schemas.openxmlformats.org/spreadsheetml/2006/main" name="16_06_147" connectionId="391" autoFormatId="16" applyNumberFormats="0" applyBorderFormats="0" applyFontFormats="0" applyPatternFormats="0" applyAlignmentFormats="0" applyWidthHeightFormats="0"/>
</file>

<file path=xl/queryTables/queryTable437.xml><?xml version="1.0" encoding="utf-8"?>
<queryTable xmlns="http://schemas.openxmlformats.org/spreadsheetml/2006/main" name="16_06_157" connectionId="384" autoFormatId="16" applyNumberFormats="0" applyBorderFormats="0" applyFontFormats="0" applyPatternFormats="0" applyAlignmentFormats="0" applyWidthHeightFormats="0"/>
</file>

<file path=xl/queryTables/queryTable438.xml><?xml version="1.0" encoding="utf-8"?>
<queryTable xmlns="http://schemas.openxmlformats.org/spreadsheetml/2006/main" name="16_06_194" connectionId="147" autoFormatId="16" applyNumberFormats="0" applyBorderFormats="0" applyFontFormats="0" applyPatternFormats="0" applyAlignmentFormats="0" applyWidthHeightFormats="0"/>
</file>

<file path=xl/queryTables/queryTable439.xml><?xml version="1.0" encoding="utf-8"?>
<queryTable xmlns="http://schemas.openxmlformats.org/spreadsheetml/2006/main" name="16_06_119" connectionId="229" autoFormatId="16" applyNumberFormats="0" applyBorderFormats="0" applyFontFormats="0" applyPatternFormats="0" applyAlignmentFormats="0" applyWidthHeightFormats="0"/>
</file>

<file path=xl/queryTables/queryTable440.xml><?xml version="1.0" encoding="utf-8"?>
<queryTable xmlns="http://schemas.openxmlformats.org/spreadsheetml/2006/main" name="16_06_165" connectionId="253" autoFormatId="16" applyNumberFormats="0" applyBorderFormats="0" applyFontFormats="0" applyPatternFormats="0" applyAlignmentFormats="0" applyWidthHeightFormats="0"/>
</file>

<file path=xl/queryTables/queryTable441.xml><?xml version="1.0" encoding="utf-8"?>
<queryTable xmlns="http://schemas.openxmlformats.org/spreadsheetml/2006/main" name="16_06_84" connectionId="272" autoFormatId="16" applyNumberFormats="0" applyBorderFormats="0" applyFontFormats="0" applyPatternFormats="0" applyAlignmentFormats="0" applyWidthHeightFormats="0"/>
</file>

<file path=xl/queryTables/queryTable442.xml><?xml version="1.0" encoding="utf-8"?>
<queryTable xmlns="http://schemas.openxmlformats.org/spreadsheetml/2006/main" name="16_06_141" connectionId="259" autoFormatId="16" applyNumberFormats="0" applyBorderFormats="0" applyFontFormats="0" applyPatternFormats="0" applyAlignmentFormats="0" applyWidthHeightFormats="0"/>
</file>

<file path=xl/queryTables/queryTable443.xml><?xml version="1.0" encoding="utf-8"?>
<queryTable xmlns="http://schemas.openxmlformats.org/spreadsheetml/2006/main" name="16_06_163" connectionId="237" autoFormatId="16" applyNumberFormats="0" applyBorderFormats="0" applyFontFormats="0" applyPatternFormats="0" applyAlignmentFormats="0" applyWidthHeightFormats="0"/>
</file>

<file path=xl/queryTables/queryTable444.xml><?xml version="1.0" encoding="utf-8"?>
<queryTable xmlns="http://schemas.openxmlformats.org/spreadsheetml/2006/main" name="16_06_82" connectionId="462" autoFormatId="16" applyNumberFormats="0" applyBorderFormats="0" applyFontFormats="0" applyPatternFormats="0" applyAlignmentFormats="0" applyWidthHeightFormats="0"/>
</file>

<file path=xl/queryTables/queryTable445.xml><?xml version="1.0" encoding="utf-8"?>
<queryTable xmlns="http://schemas.openxmlformats.org/spreadsheetml/2006/main" name="16_06_209" connectionId="180" autoFormatId="16" applyNumberFormats="0" applyBorderFormats="0" applyFontFormats="0" applyPatternFormats="0" applyAlignmentFormats="0" applyWidthHeightFormats="0"/>
</file>

<file path=xl/queryTables/queryTable446.xml><?xml version="1.0" encoding="utf-8"?>
<queryTable xmlns="http://schemas.openxmlformats.org/spreadsheetml/2006/main" name="16_06_237" connectionId="407" autoFormatId="16" applyNumberFormats="0" applyBorderFormats="0" applyFontFormats="0" applyPatternFormats="0" applyAlignmentFormats="0" applyWidthHeightFormats="0"/>
</file>

<file path=xl/queryTables/queryTable447.xml><?xml version="1.0" encoding="utf-8"?>
<queryTable xmlns="http://schemas.openxmlformats.org/spreadsheetml/2006/main" name="16_06_211" connectionId="357" autoFormatId="16" applyNumberFormats="0" applyBorderFormats="0" applyFontFormats="0" applyPatternFormats="0" applyAlignmentFormats="0" applyWidthHeightFormats="0"/>
</file>

<file path=xl/queryTables/queryTable448.xml><?xml version="1.0" encoding="utf-8"?>
<queryTable xmlns="http://schemas.openxmlformats.org/spreadsheetml/2006/main" name="16_06_199" connectionId="209" autoFormatId="16" applyNumberFormats="0" applyBorderFormats="0" applyFontFormats="0" applyPatternFormats="0" applyAlignmentFormats="0" applyWidthHeightFormats="0"/>
</file>

<file path=xl/queryTables/queryTable449.xml><?xml version="1.0" encoding="utf-8"?>
<queryTable xmlns="http://schemas.openxmlformats.org/spreadsheetml/2006/main" name="16_06_170" connectionId="321" autoFormatId="16" applyNumberFormats="0" applyBorderFormats="0" applyFontFormats="0" applyPatternFormats="0" applyAlignmentFormats="0" applyWidthHeightFormats="0"/>
</file>

<file path=xl/queryTables/queryTable450.xml><?xml version="1.0" encoding="utf-8"?>
<queryTable xmlns="http://schemas.openxmlformats.org/spreadsheetml/2006/main" name="16_06_216" connectionId="297" autoFormatId="16" applyNumberFormats="0" applyBorderFormats="0" applyFontFormats="0" applyPatternFormats="0" applyAlignmentFormats="0" applyWidthHeightFormats="0"/>
</file>

<file path=xl/queryTables/queryTable451.xml><?xml version="1.0" encoding="utf-8"?>
<queryTable xmlns="http://schemas.openxmlformats.org/spreadsheetml/2006/main" name="16_06_189" connectionId="339" autoFormatId="16" applyNumberFormats="0" applyBorderFormats="0" applyFontFormats="0" applyPatternFormats="0" applyAlignmentFormats="0" applyWidthHeightFormats="0"/>
</file>

<file path=xl/queryTables/queryTable452.xml><?xml version="1.0" encoding="utf-8"?>
<queryTable xmlns="http://schemas.openxmlformats.org/spreadsheetml/2006/main" name="16_06_172" connectionId="19" autoFormatId="16" applyNumberFormats="0" applyBorderFormats="0" applyFontFormats="0" applyPatternFormats="0" applyAlignmentFormats="0" applyWidthHeightFormats="0"/>
</file>

<file path=xl/queryTables/queryTable453.xml><?xml version="1.0" encoding="utf-8"?>
<queryTable xmlns="http://schemas.openxmlformats.org/spreadsheetml/2006/main" name="16_06_196" connectionId="64" autoFormatId="16" applyNumberFormats="0" applyBorderFormats="0" applyFontFormats="0" applyPatternFormats="0" applyAlignmentFormats="0" applyWidthHeightFormats="0"/>
</file>

<file path=xl/queryTables/queryTable454.xml><?xml version="1.0" encoding="utf-8"?>
<queryTable xmlns="http://schemas.openxmlformats.org/spreadsheetml/2006/main" name="16_06_205" connectionId="150" autoFormatId="16" applyNumberFormats="0" applyBorderFormats="0" applyFontFormats="0" applyPatternFormats="0" applyAlignmentFormats="0" applyWidthHeightFormats="0"/>
</file>

<file path=xl/queryTables/queryTable455.xml><?xml version="1.0" encoding="utf-8"?>
<queryTable xmlns="http://schemas.openxmlformats.org/spreadsheetml/2006/main" name="16_06_63" connectionId="401" autoFormatId="16" applyNumberFormats="0" applyBorderFormats="0" applyFontFormats="0" applyPatternFormats="0" applyAlignmentFormats="0" applyWidthHeightFormats="0"/>
</file>

<file path=xl/queryTables/queryTable456.xml><?xml version="1.0" encoding="utf-8"?>
<queryTable xmlns="http://schemas.openxmlformats.org/spreadsheetml/2006/main" name="16_06_131" connectionId="458" autoFormatId="16" applyNumberFormats="0" applyBorderFormats="0" applyFontFormats="0" applyPatternFormats="0" applyAlignmentFormats="0" applyWidthHeightFormats="0"/>
</file>

<file path=xl/queryTables/queryTable457.xml><?xml version="1.0" encoding="utf-8"?>
<queryTable xmlns="http://schemas.openxmlformats.org/spreadsheetml/2006/main" name="16_06_98" connectionId="389" autoFormatId="16" applyNumberFormats="0" applyBorderFormats="0" applyFontFormats="0" applyPatternFormats="0" applyAlignmentFormats="0" applyWidthHeightFormats="0"/>
</file>

<file path=xl/queryTables/queryTable458.xml><?xml version="1.0" encoding="utf-8"?>
<queryTable xmlns="http://schemas.openxmlformats.org/spreadsheetml/2006/main" name="16_06_192" connectionId="372" autoFormatId="16" applyNumberFormats="0" applyBorderFormats="0" applyFontFormats="0" applyPatternFormats="0" applyAlignmentFormats="0" applyWidthHeightFormats="0"/>
</file>

<file path=xl/queryTables/queryTable459.xml><?xml version="1.0" encoding="utf-8"?>
<queryTable xmlns="http://schemas.openxmlformats.org/spreadsheetml/2006/main" name="16_06_203" connectionId="232" autoFormatId="16" applyNumberFormats="0" applyBorderFormats="0" applyFontFormats="0" applyPatternFormats="0" applyAlignmentFormats="0" applyWidthHeightFormats="0"/>
</file>

<file path=xl/queryTables/queryTable460.xml><?xml version="1.0" encoding="utf-8"?>
<queryTable xmlns="http://schemas.openxmlformats.org/spreadsheetml/2006/main" name="16_06_34" connectionId="263" autoFormatId="16" applyNumberFormats="0" applyBorderFormats="0" applyFontFormats="0" applyPatternFormats="0" applyAlignmentFormats="0" applyWidthHeightFormats="0"/>
</file>

<file path=xl/queryTables/queryTable461.xml><?xml version="1.0" encoding="utf-8"?>
<queryTable xmlns="http://schemas.openxmlformats.org/spreadsheetml/2006/main" name="16_06_181" connectionId="206" autoFormatId="16" applyNumberFormats="0" applyBorderFormats="0" applyFontFormats="0" applyPatternFormats="0" applyAlignmentFormats="0" applyWidthHeightFormats="0"/>
</file>

<file path=xl/queryTables/queryTable462.xml><?xml version="1.0" encoding="utf-8"?>
<queryTable xmlns="http://schemas.openxmlformats.org/spreadsheetml/2006/main" name="16_06_238" connectionId="44" autoFormatId="16" applyNumberFormats="0" applyBorderFormats="0" applyFontFormats="0" applyPatternFormats="0" applyAlignmentFormats="0" applyWidthHeightFormats="0"/>
</file>

<file path=xl/queryTables/queryTable463.xml><?xml version="1.0" encoding="utf-8"?>
<queryTable xmlns="http://schemas.openxmlformats.org/spreadsheetml/2006/main" name="16_06_71" connectionId="351" autoFormatId="16" applyNumberFormats="0" applyBorderFormats="0" applyFontFormats="0" applyPatternFormats="0" applyAlignmentFormats="0" applyWidthHeightFormats="0"/>
</file>

<file path=xl/queryTables/queryTable464.xml><?xml version="1.0" encoding="utf-8"?>
<queryTable xmlns="http://schemas.openxmlformats.org/spreadsheetml/2006/main" name="16_06_134" connectionId="435" autoFormatId="16" applyNumberFormats="0" applyBorderFormats="0" applyFontFormats="0" applyPatternFormats="0" applyAlignmentFormats="0" applyWidthHeightFormats="0"/>
</file>

<file path=xl/queryTables/queryTable465.xml><?xml version="1.0" encoding="utf-8"?>
<queryTable xmlns="http://schemas.openxmlformats.org/spreadsheetml/2006/main" name="16_06_193" connectionId="217" autoFormatId="16" applyNumberFormats="0" applyBorderFormats="0" applyFontFormats="0" applyPatternFormats="0" applyAlignmentFormats="0" applyWidthHeightFormats="0"/>
</file>

<file path=xl/queryTables/queryTable466.xml><?xml version="1.0" encoding="utf-8"?>
<queryTable xmlns="http://schemas.openxmlformats.org/spreadsheetml/2006/main" name="16_06_24" connectionId="277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queryTable" Target="../queryTables/queryTable116.xml"/><Relationship Id="rId21" Type="http://schemas.openxmlformats.org/officeDocument/2006/relationships/queryTable" Target="../queryTables/queryTable20.xml"/><Relationship Id="rId42" Type="http://schemas.openxmlformats.org/officeDocument/2006/relationships/queryTable" Target="../queryTables/queryTable41.xml"/><Relationship Id="rId63" Type="http://schemas.openxmlformats.org/officeDocument/2006/relationships/queryTable" Target="../queryTables/queryTable62.xml"/><Relationship Id="rId84" Type="http://schemas.openxmlformats.org/officeDocument/2006/relationships/queryTable" Target="../queryTables/queryTable83.xml"/><Relationship Id="rId138" Type="http://schemas.openxmlformats.org/officeDocument/2006/relationships/queryTable" Target="../queryTables/queryTable137.xml"/><Relationship Id="rId159" Type="http://schemas.openxmlformats.org/officeDocument/2006/relationships/queryTable" Target="../queryTables/queryTable158.xml"/><Relationship Id="rId170" Type="http://schemas.openxmlformats.org/officeDocument/2006/relationships/queryTable" Target="../queryTables/queryTable169.xml"/><Relationship Id="rId191" Type="http://schemas.openxmlformats.org/officeDocument/2006/relationships/queryTable" Target="../queryTables/queryTable190.xml"/><Relationship Id="rId205" Type="http://schemas.openxmlformats.org/officeDocument/2006/relationships/queryTable" Target="../queryTables/queryTable204.xml"/><Relationship Id="rId226" Type="http://schemas.openxmlformats.org/officeDocument/2006/relationships/queryTable" Target="../queryTables/queryTable225.xml"/><Relationship Id="rId107" Type="http://schemas.openxmlformats.org/officeDocument/2006/relationships/queryTable" Target="../queryTables/queryTable106.xml"/><Relationship Id="rId11" Type="http://schemas.openxmlformats.org/officeDocument/2006/relationships/queryTable" Target="../queryTables/queryTable10.xml"/><Relationship Id="rId32" Type="http://schemas.openxmlformats.org/officeDocument/2006/relationships/queryTable" Target="../queryTables/queryTable31.xml"/><Relationship Id="rId53" Type="http://schemas.openxmlformats.org/officeDocument/2006/relationships/queryTable" Target="../queryTables/queryTable52.xml"/><Relationship Id="rId74" Type="http://schemas.openxmlformats.org/officeDocument/2006/relationships/queryTable" Target="../queryTables/queryTable73.xml"/><Relationship Id="rId128" Type="http://schemas.openxmlformats.org/officeDocument/2006/relationships/queryTable" Target="../queryTables/queryTable127.xml"/><Relationship Id="rId149" Type="http://schemas.openxmlformats.org/officeDocument/2006/relationships/queryTable" Target="../queryTables/queryTable148.xml"/><Relationship Id="rId5" Type="http://schemas.openxmlformats.org/officeDocument/2006/relationships/queryTable" Target="../queryTables/queryTable4.xml"/><Relationship Id="rId95" Type="http://schemas.openxmlformats.org/officeDocument/2006/relationships/queryTable" Target="../queryTables/queryTable94.xml"/><Relationship Id="rId160" Type="http://schemas.openxmlformats.org/officeDocument/2006/relationships/queryTable" Target="../queryTables/queryTable159.xml"/><Relationship Id="rId181" Type="http://schemas.openxmlformats.org/officeDocument/2006/relationships/queryTable" Target="../queryTables/queryTable180.xml"/><Relationship Id="rId216" Type="http://schemas.openxmlformats.org/officeDocument/2006/relationships/queryTable" Target="../queryTables/queryTable215.xml"/><Relationship Id="rId237" Type="http://schemas.openxmlformats.org/officeDocument/2006/relationships/queryTable" Target="../queryTables/queryTable236.xml"/><Relationship Id="rId22" Type="http://schemas.openxmlformats.org/officeDocument/2006/relationships/queryTable" Target="../queryTables/queryTable21.xml"/><Relationship Id="rId43" Type="http://schemas.openxmlformats.org/officeDocument/2006/relationships/queryTable" Target="../queryTables/queryTable42.xml"/><Relationship Id="rId64" Type="http://schemas.openxmlformats.org/officeDocument/2006/relationships/queryTable" Target="../queryTables/queryTable63.xml"/><Relationship Id="rId118" Type="http://schemas.openxmlformats.org/officeDocument/2006/relationships/queryTable" Target="../queryTables/queryTable117.xml"/><Relationship Id="rId139" Type="http://schemas.openxmlformats.org/officeDocument/2006/relationships/queryTable" Target="../queryTables/queryTable138.xml"/><Relationship Id="rId85" Type="http://schemas.openxmlformats.org/officeDocument/2006/relationships/queryTable" Target="../queryTables/queryTable84.xml"/><Relationship Id="rId150" Type="http://schemas.openxmlformats.org/officeDocument/2006/relationships/queryTable" Target="../queryTables/queryTable149.xml"/><Relationship Id="rId171" Type="http://schemas.openxmlformats.org/officeDocument/2006/relationships/queryTable" Target="../queryTables/queryTable170.xml"/><Relationship Id="rId192" Type="http://schemas.openxmlformats.org/officeDocument/2006/relationships/queryTable" Target="../queryTables/queryTable191.xml"/><Relationship Id="rId206" Type="http://schemas.openxmlformats.org/officeDocument/2006/relationships/queryTable" Target="../queryTables/queryTable205.xml"/><Relationship Id="rId227" Type="http://schemas.openxmlformats.org/officeDocument/2006/relationships/queryTable" Target="../queryTables/queryTable226.xml"/><Relationship Id="rId12" Type="http://schemas.openxmlformats.org/officeDocument/2006/relationships/queryTable" Target="../queryTables/queryTable11.xml"/><Relationship Id="rId33" Type="http://schemas.openxmlformats.org/officeDocument/2006/relationships/queryTable" Target="../queryTables/queryTable32.xml"/><Relationship Id="rId108" Type="http://schemas.openxmlformats.org/officeDocument/2006/relationships/queryTable" Target="../queryTables/queryTable107.xml"/><Relationship Id="rId129" Type="http://schemas.openxmlformats.org/officeDocument/2006/relationships/queryTable" Target="../queryTables/queryTable128.xml"/><Relationship Id="rId54" Type="http://schemas.openxmlformats.org/officeDocument/2006/relationships/queryTable" Target="../queryTables/queryTable53.xml"/><Relationship Id="rId75" Type="http://schemas.openxmlformats.org/officeDocument/2006/relationships/queryTable" Target="../queryTables/queryTable74.xml"/><Relationship Id="rId96" Type="http://schemas.openxmlformats.org/officeDocument/2006/relationships/queryTable" Target="../queryTables/queryTable95.xml"/><Relationship Id="rId140" Type="http://schemas.openxmlformats.org/officeDocument/2006/relationships/queryTable" Target="../queryTables/queryTable139.xml"/><Relationship Id="rId161" Type="http://schemas.openxmlformats.org/officeDocument/2006/relationships/queryTable" Target="../queryTables/queryTable160.xml"/><Relationship Id="rId182" Type="http://schemas.openxmlformats.org/officeDocument/2006/relationships/queryTable" Target="../queryTables/queryTable181.xml"/><Relationship Id="rId217" Type="http://schemas.openxmlformats.org/officeDocument/2006/relationships/queryTable" Target="../queryTables/queryTable216.xml"/><Relationship Id="rId6" Type="http://schemas.openxmlformats.org/officeDocument/2006/relationships/queryTable" Target="../queryTables/queryTable5.xml"/><Relationship Id="rId238" Type="http://schemas.openxmlformats.org/officeDocument/2006/relationships/queryTable" Target="../queryTables/queryTable237.xml"/><Relationship Id="rId23" Type="http://schemas.openxmlformats.org/officeDocument/2006/relationships/queryTable" Target="../queryTables/queryTable22.xml"/><Relationship Id="rId119" Type="http://schemas.openxmlformats.org/officeDocument/2006/relationships/queryTable" Target="../queryTables/queryTable118.xml"/><Relationship Id="rId44" Type="http://schemas.openxmlformats.org/officeDocument/2006/relationships/queryTable" Target="../queryTables/queryTable43.xml"/><Relationship Id="rId65" Type="http://schemas.openxmlformats.org/officeDocument/2006/relationships/queryTable" Target="../queryTables/queryTable64.xml"/><Relationship Id="rId86" Type="http://schemas.openxmlformats.org/officeDocument/2006/relationships/queryTable" Target="../queryTables/queryTable85.xml"/><Relationship Id="rId130" Type="http://schemas.openxmlformats.org/officeDocument/2006/relationships/queryTable" Target="../queryTables/queryTable129.xml"/><Relationship Id="rId151" Type="http://schemas.openxmlformats.org/officeDocument/2006/relationships/queryTable" Target="../queryTables/queryTable150.xml"/><Relationship Id="rId172" Type="http://schemas.openxmlformats.org/officeDocument/2006/relationships/queryTable" Target="../queryTables/queryTable171.xml"/><Relationship Id="rId193" Type="http://schemas.openxmlformats.org/officeDocument/2006/relationships/queryTable" Target="../queryTables/queryTable192.xml"/><Relationship Id="rId207" Type="http://schemas.openxmlformats.org/officeDocument/2006/relationships/queryTable" Target="../queryTables/queryTable206.xml"/><Relationship Id="rId228" Type="http://schemas.openxmlformats.org/officeDocument/2006/relationships/queryTable" Target="../queryTables/queryTable227.xml"/><Relationship Id="rId13" Type="http://schemas.openxmlformats.org/officeDocument/2006/relationships/queryTable" Target="../queryTables/queryTable12.xml"/><Relationship Id="rId109" Type="http://schemas.openxmlformats.org/officeDocument/2006/relationships/queryTable" Target="../queryTables/queryTable108.xml"/><Relationship Id="rId34" Type="http://schemas.openxmlformats.org/officeDocument/2006/relationships/queryTable" Target="../queryTables/queryTable33.xml"/><Relationship Id="rId55" Type="http://schemas.openxmlformats.org/officeDocument/2006/relationships/queryTable" Target="../queryTables/queryTable54.xml"/><Relationship Id="rId76" Type="http://schemas.openxmlformats.org/officeDocument/2006/relationships/queryTable" Target="../queryTables/queryTable75.xml"/><Relationship Id="rId97" Type="http://schemas.openxmlformats.org/officeDocument/2006/relationships/queryTable" Target="../queryTables/queryTable96.xml"/><Relationship Id="rId120" Type="http://schemas.openxmlformats.org/officeDocument/2006/relationships/queryTable" Target="../queryTables/queryTable119.xml"/><Relationship Id="rId141" Type="http://schemas.openxmlformats.org/officeDocument/2006/relationships/queryTable" Target="../queryTables/queryTable140.xml"/><Relationship Id="rId7" Type="http://schemas.openxmlformats.org/officeDocument/2006/relationships/queryTable" Target="../queryTables/queryTable6.xml"/><Relationship Id="rId162" Type="http://schemas.openxmlformats.org/officeDocument/2006/relationships/queryTable" Target="../queryTables/queryTable161.xml"/><Relationship Id="rId183" Type="http://schemas.openxmlformats.org/officeDocument/2006/relationships/queryTable" Target="../queryTables/queryTable182.xml"/><Relationship Id="rId218" Type="http://schemas.openxmlformats.org/officeDocument/2006/relationships/queryTable" Target="../queryTables/queryTable217.xml"/><Relationship Id="rId239" Type="http://schemas.openxmlformats.org/officeDocument/2006/relationships/queryTable" Target="../queryTables/queryTable238.xml"/><Relationship Id="rId24" Type="http://schemas.openxmlformats.org/officeDocument/2006/relationships/queryTable" Target="../queryTables/queryTable23.xml"/><Relationship Id="rId45" Type="http://schemas.openxmlformats.org/officeDocument/2006/relationships/queryTable" Target="../queryTables/queryTable44.xml"/><Relationship Id="rId66" Type="http://schemas.openxmlformats.org/officeDocument/2006/relationships/queryTable" Target="../queryTables/queryTable65.xml"/><Relationship Id="rId87" Type="http://schemas.openxmlformats.org/officeDocument/2006/relationships/queryTable" Target="../queryTables/queryTable86.xml"/><Relationship Id="rId110" Type="http://schemas.openxmlformats.org/officeDocument/2006/relationships/queryTable" Target="../queryTables/queryTable109.xml"/><Relationship Id="rId131" Type="http://schemas.openxmlformats.org/officeDocument/2006/relationships/queryTable" Target="../queryTables/queryTable130.xml"/><Relationship Id="rId152" Type="http://schemas.openxmlformats.org/officeDocument/2006/relationships/queryTable" Target="../queryTables/queryTable151.xml"/><Relationship Id="rId173" Type="http://schemas.openxmlformats.org/officeDocument/2006/relationships/queryTable" Target="../queryTables/queryTable172.xml"/><Relationship Id="rId194" Type="http://schemas.openxmlformats.org/officeDocument/2006/relationships/queryTable" Target="../queryTables/queryTable193.xml"/><Relationship Id="rId208" Type="http://schemas.openxmlformats.org/officeDocument/2006/relationships/queryTable" Target="../queryTables/queryTable207.xml"/><Relationship Id="rId229" Type="http://schemas.openxmlformats.org/officeDocument/2006/relationships/queryTable" Target="../queryTables/queryTable228.xml"/><Relationship Id="rId240" Type="http://schemas.openxmlformats.org/officeDocument/2006/relationships/queryTable" Target="../queryTables/queryTable239.xml"/><Relationship Id="rId14" Type="http://schemas.openxmlformats.org/officeDocument/2006/relationships/queryTable" Target="../queryTables/queryTable13.xml"/><Relationship Id="rId35" Type="http://schemas.openxmlformats.org/officeDocument/2006/relationships/queryTable" Target="../queryTables/queryTable34.xml"/><Relationship Id="rId56" Type="http://schemas.openxmlformats.org/officeDocument/2006/relationships/queryTable" Target="../queryTables/queryTable55.xml"/><Relationship Id="rId77" Type="http://schemas.openxmlformats.org/officeDocument/2006/relationships/queryTable" Target="../queryTables/queryTable76.xml"/><Relationship Id="rId100" Type="http://schemas.openxmlformats.org/officeDocument/2006/relationships/queryTable" Target="../queryTables/queryTable99.xml"/><Relationship Id="rId8" Type="http://schemas.openxmlformats.org/officeDocument/2006/relationships/queryTable" Target="../queryTables/queryTable7.xml"/><Relationship Id="rId98" Type="http://schemas.openxmlformats.org/officeDocument/2006/relationships/queryTable" Target="../queryTables/queryTable97.xml"/><Relationship Id="rId121" Type="http://schemas.openxmlformats.org/officeDocument/2006/relationships/queryTable" Target="../queryTables/queryTable120.xml"/><Relationship Id="rId142" Type="http://schemas.openxmlformats.org/officeDocument/2006/relationships/queryTable" Target="../queryTables/queryTable141.xml"/><Relationship Id="rId163" Type="http://schemas.openxmlformats.org/officeDocument/2006/relationships/queryTable" Target="../queryTables/queryTable162.xml"/><Relationship Id="rId184" Type="http://schemas.openxmlformats.org/officeDocument/2006/relationships/queryTable" Target="../queryTables/queryTable183.xml"/><Relationship Id="rId219" Type="http://schemas.openxmlformats.org/officeDocument/2006/relationships/queryTable" Target="../queryTables/queryTable218.xml"/><Relationship Id="rId230" Type="http://schemas.openxmlformats.org/officeDocument/2006/relationships/queryTable" Target="../queryTables/queryTable229.xml"/><Relationship Id="rId25" Type="http://schemas.openxmlformats.org/officeDocument/2006/relationships/queryTable" Target="../queryTables/queryTable24.xml"/><Relationship Id="rId46" Type="http://schemas.openxmlformats.org/officeDocument/2006/relationships/queryTable" Target="../queryTables/queryTable45.xml"/><Relationship Id="rId67" Type="http://schemas.openxmlformats.org/officeDocument/2006/relationships/queryTable" Target="../queryTables/queryTable66.xml"/><Relationship Id="rId88" Type="http://schemas.openxmlformats.org/officeDocument/2006/relationships/queryTable" Target="../queryTables/queryTable87.xml"/><Relationship Id="rId111" Type="http://schemas.openxmlformats.org/officeDocument/2006/relationships/queryTable" Target="../queryTables/queryTable110.xml"/><Relationship Id="rId132" Type="http://schemas.openxmlformats.org/officeDocument/2006/relationships/queryTable" Target="../queryTables/queryTable131.xml"/><Relationship Id="rId153" Type="http://schemas.openxmlformats.org/officeDocument/2006/relationships/queryTable" Target="../queryTables/queryTable152.xml"/><Relationship Id="rId174" Type="http://schemas.openxmlformats.org/officeDocument/2006/relationships/queryTable" Target="../queryTables/queryTable173.xml"/><Relationship Id="rId195" Type="http://schemas.openxmlformats.org/officeDocument/2006/relationships/queryTable" Target="../queryTables/queryTable194.xml"/><Relationship Id="rId209" Type="http://schemas.openxmlformats.org/officeDocument/2006/relationships/queryTable" Target="../queryTables/queryTable208.xml"/><Relationship Id="rId220" Type="http://schemas.openxmlformats.org/officeDocument/2006/relationships/queryTable" Target="../queryTables/queryTable219.xml"/><Relationship Id="rId241" Type="http://schemas.openxmlformats.org/officeDocument/2006/relationships/queryTable" Target="../queryTables/queryTable240.xml"/><Relationship Id="rId15" Type="http://schemas.openxmlformats.org/officeDocument/2006/relationships/queryTable" Target="../queryTables/queryTable14.xml"/><Relationship Id="rId36" Type="http://schemas.openxmlformats.org/officeDocument/2006/relationships/queryTable" Target="../queryTables/queryTable35.xml"/><Relationship Id="rId57" Type="http://schemas.openxmlformats.org/officeDocument/2006/relationships/queryTable" Target="../queryTables/queryTable56.xml"/><Relationship Id="rId106" Type="http://schemas.openxmlformats.org/officeDocument/2006/relationships/queryTable" Target="../queryTables/queryTable105.xml"/><Relationship Id="rId127" Type="http://schemas.openxmlformats.org/officeDocument/2006/relationships/queryTable" Target="../queryTables/queryTable126.xml"/><Relationship Id="rId10" Type="http://schemas.openxmlformats.org/officeDocument/2006/relationships/queryTable" Target="../queryTables/queryTable9.xml"/><Relationship Id="rId31" Type="http://schemas.openxmlformats.org/officeDocument/2006/relationships/queryTable" Target="../queryTables/queryTable30.xml"/><Relationship Id="rId52" Type="http://schemas.openxmlformats.org/officeDocument/2006/relationships/queryTable" Target="../queryTables/queryTable51.xml"/><Relationship Id="rId73" Type="http://schemas.openxmlformats.org/officeDocument/2006/relationships/queryTable" Target="../queryTables/queryTable72.xml"/><Relationship Id="rId78" Type="http://schemas.openxmlformats.org/officeDocument/2006/relationships/queryTable" Target="../queryTables/queryTable77.xml"/><Relationship Id="rId94" Type="http://schemas.openxmlformats.org/officeDocument/2006/relationships/queryTable" Target="../queryTables/queryTable93.xml"/><Relationship Id="rId99" Type="http://schemas.openxmlformats.org/officeDocument/2006/relationships/queryTable" Target="../queryTables/queryTable98.xml"/><Relationship Id="rId101" Type="http://schemas.openxmlformats.org/officeDocument/2006/relationships/queryTable" Target="../queryTables/queryTable100.xml"/><Relationship Id="rId122" Type="http://schemas.openxmlformats.org/officeDocument/2006/relationships/queryTable" Target="../queryTables/queryTable121.xml"/><Relationship Id="rId143" Type="http://schemas.openxmlformats.org/officeDocument/2006/relationships/queryTable" Target="../queryTables/queryTable142.xml"/><Relationship Id="rId148" Type="http://schemas.openxmlformats.org/officeDocument/2006/relationships/queryTable" Target="../queryTables/queryTable147.xml"/><Relationship Id="rId164" Type="http://schemas.openxmlformats.org/officeDocument/2006/relationships/queryTable" Target="../queryTables/queryTable163.xml"/><Relationship Id="rId169" Type="http://schemas.openxmlformats.org/officeDocument/2006/relationships/queryTable" Target="../queryTables/queryTable168.xml"/><Relationship Id="rId185" Type="http://schemas.openxmlformats.org/officeDocument/2006/relationships/queryTable" Target="../queryTables/queryTable184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80" Type="http://schemas.openxmlformats.org/officeDocument/2006/relationships/queryTable" Target="../queryTables/queryTable179.xml"/><Relationship Id="rId210" Type="http://schemas.openxmlformats.org/officeDocument/2006/relationships/queryTable" Target="../queryTables/queryTable209.xml"/><Relationship Id="rId215" Type="http://schemas.openxmlformats.org/officeDocument/2006/relationships/queryTable" Target="../queryTables/queryTable214.xml"/><Relationship Id="rId236" Type="http://schemas.openxmlformats.org/officeDocument/2006/relationships/queryTable" Target="../queryTables/queryTable235.xml"/><Relationship Id="rId26" Type="http://schemas.openxmlformats.org/officeDocument/2006/relationships/queryTable" Target="../queryTables/queryTable25.xml"/><Relationship Id="rId231" Type="http://schemas.openxmlformats.org/officeDocument/2006/relationships/queryTable" Target="../queryTables/queryTable230.xml"/><Relationship Id="rId47" Type="http://schemas.openxmlformats.org/officeDocument/2006/relationships/queryTable" Target="../queryTables/queryTable46.xml"/><Relationship Id="rId68" Type="http://schemas.openxmlformats.org/officeDocument/2006/relationships/queryTable" Target="../queryTables/queryTable67.xml"/><Relationship Id="rId89" Type="http://schemas.openxmlformats.org/officeDocument/2006/relationships/queryTable" Target="../queryTables/queryTable88.xml"/><Relationship Id="rId112" Type="http://schemas.openxmlformats.org/officeDocument/2006/relationships/queryTable" Target="../queryTables/queryTable111.xml"/><Relationship Id="rId133" Type="http://schemas.openxmlformats.org/officeDocument/2006/relationships/queryTable" Target="../queryTables/queryTable132.xml"/><Relationship Id="rId154" Type="http://schemas.openxmlformats.org/officeDocument/2006/relationships/queryTable" Target="../queryTables/queryTable153.xml"/><Relationship Id="rId175" Type="http://schemas.openxmlformats.org/officeDocument/2006/relationships/queryTable" Target="../queryTables/queryTable174.xml"/><Relationship Id="rId196" Type="http://schemas.openxmlformats.org/officeDocument/2006/relationships/queryTable" Target="../queryTables/queryTable195.xml"/><Relationship Id="rId200" Type="http://schemas.openxmlformats.org/officeDocument/2006/relationships/queryTable" Target="../queryTables/queryTable199.xml"/><Relationship Id="rId16" Type="http://schemas.openxmlformats.org/officeDocument/2006/relationships/queryTable" Target="../queryTables/queryTable15.xml"/><Relationship Id="rId221" Type="http://schemas.openxmlformats.org/officeDocument/2006/relationships/queryTable" Target="../queryTables/queryTable220.xml"/><Relationship Id="rId242" Type="http://schemas.openxmlformats.org/officeDocument/2006/relationships/queryTable" Target="../queryTables/queryTable241.xml"/><Relationship Id="rId37" Type="http://schemas.openxmlformats.org/officeDocument/2006/relationships/queryTable" Target="../queryTables/queryTable36.xml"/><Relationship Id="rId58" Type="http://schemas.openxmlformats.org/officeDocument/2006/relationships/queryTable" Target="../queryTables/queryTable57.xml"/><Relationship Id="rId79" Type="http://schemas.openxmlformats.org/officeDocument/2006/relationships/queryTable" Target="../queryTables/queryTable78.xml"/><Relationship Id="rId102" Type="http://schemas.openxmlformats.org/officeDocument/2006/relationships/queryTable" Target="../queryTables/queryTable101.xml"/><Relationship Id="rId123" Type="http://schemas.openxmlformats.org/officeDocument/2006/relationships/queryTable" Target="../queryTables/queryTable122.xml"/><Relationship Id="rId144" Type="http://schemas.openxmlformats.org/officeDocument/2006/relationships/queryTable" Target="../queryTables/queryTable143.xml"/><Relationship Id="rId90" Type="http://schemas.openxmlformats.org/officeDocument/2006/relationships/queryTable" Target="../queryTables/queryTable89.xml"/><Relationship Id="rId165" Type="http://schemas.openxmlformats.org/officeDocument/2006/relationships/queryTable" Target="../queryTables/queryTable164.xml"/><Relationship Id="rId186" Type="http://schemas.openxmlformats.org/officeDocument/2006/relationships/queryTable" Target="../queryTables/queryTable185.xml"/><Relationship Id="rId211" Type="http://schemas.openxmlformats.org/officeDocument/2006/relationships/queryTable" Target="../queryTables/queryTable210.xml"/><Relationship Id="rId232" Type="http://schemas.openxmlformats.org/officeDocument/2006/relationships/queryTable" Target="../queryTables/queryTable231.xml"/><Relationship Id="rId27" Type="http://schemas.openxmlformats.org/officeDocument/2006/relationships/queryTable" Target="../queryTables/queryTable26.xml"/><Relationship Id="rId48" Type="http://schemas.openxmlformats.org/officeDocument/2006/relationships/queryTable" Target="../queryTables/queryTable47.xml"/><Relationship Id="rId69" Type="http://schemas.openxmlformats.org/officeDocument/2006/relationships/queryTable" Target="../queryTables/queryTable68.xml"/><Relationship Id="rId113" Type="http://schemas.openxmlformats.org/officeDocument/2006/relationships/queryTable" Target="../queryTables/queryTable112.xml"/><Relationship Id="rId134" Type="http://schemas.openxmlformats.org/officeDocument/2006/relationships/queryTable" Target="../queryTables/queryTable133.xml"/><Relationship Id="rId80" Type="http://schemas.openxmlformats.org/officeDocument/2006/relationships/queryTable" Target="../queryTables/queryTable79.xml"/><Relationship Id="rId155" Type="http://schemas.openxmlformats.org/officeDocument/2006/relationships/queryTable" Target="../queryTables/queryTable154.xml"/><Relationship Id="rId176" Type="http://schemas.openxmlformats.org/officeDocument/2006/relationships/queryTable" Target="../queryTables/queryTable175.xml"/><Relationship Id="rId197" Type="http://schemas.openxmlformats.org/officeDocument/2006/relationships/queryTable" Target="../queryTables/queryTable196.xml"/><Relationship Id="rId201" Type="http://schemas.openxmlformats.org/officeDocument/2006/relationships/queryTable" Target="../queryTables/queryTable200.xml"/><Relationship Id="rId222" Type="http://schemas.openxmlformats.org/officeDocument/2006/relationships/queryTable" Target="../queryTables/queryTable221.xml"/><Relationship Id="rId243" Type="http://schemas.openxmlformats.org/officeDocument/2006/relationships/queryTable" Target="../queryTables/queryTable242.xml"/><Relationship Id="rId17" Type="http://schemas.openxmlformats.org/officeDocument/2006/relationships/queryTable" Target="../queryTables/queryTable16.xml"/><Relationship Id="rId38" Type="http://schemas.openxmlformats.org/officeDocument/2006/relationships/queryTable" Target="../queryTables/queryTable37.xml"/><Relationship Id="rId59" Type="http://schemas.openxmlformats.org/officeDocument/2006/relationships/queryTable" Target="../queryTables/queryTable58.xml"/><Relationship Id="rId103" Type="http://schemas.openxmlformats.org/officeDocument/2006/relationships/queryTable" Target="../queryTables/queryTable102.xml"/><Relationship Id="rId124" Type="http://schemas.openxmlformats.org/officeDocument/2006/relationships/queryTable" Target="../queryTables/queryTable123.xml"/><Relationship Id="rId70" Type="http://schemas.openxmlformats.org/officeDocument/2006/relationships/queryTable" Target="../queryTables/queryTable69.xml"/><Relationship Id="rId91" Type="http://schemas.openxmlformats.org/officeDocument/2006/relationships/queryTable" Target="../queryTables/queryTable90.xml"/><Relationship Id="rId145" Type="http://schemas.openxmlformats.org/officeDocument/2006/relationships/queryTable" Target="../queryTables/queryTable144.xml"/><Relationship Id="rId166" Type="http://schemas.openxmlformats.org/officeDocument/2006/relationships/queryTable" Target="../queryTables/queryTable165.xml"/><Relationship Id="rId187" Type="http://schemas.openxmlformats.org/officeDocument/2006/relationships/queryTable" Target="../queryTables/queryTable186.xml"/><Relationship Id="rId1" Type="http://schemas.openxmlformats.org/officeDocument/2006/relationships/drawing" Target="../drawings/drawing2.xml"/><Relationship Id="rId212" Type="http://schemas.openxmlformats.org/officeDocument/2006/relationships/queryTable" Target="../queryTables/queryTable211.xml"/><Relationship Id="rId233" Type="http://schemas.openxmlformats.org/officeDocument/2006/relationships/queryTable" Target="../queryTables/queryTable232.xml"/><Relationship Id="rId28" Type="http://schemas.openxmlformats.org/officeDocument/2006/relationships/queryTable" Target="../queryTables/queryTable27.xml"/><Relationship Id="rId49" Type="http://schemas.openxmlformats.org/officeDocument/2006/relationships/queryTable" Target="../queryTables/queryTable48.xml"/><Relationship Id="rId114" Type="http://schemas.openxmlformats.org/officeDocument/2006/relationships/queryTable" Target="../queryTables/queryTable113.xml"/><Relationship Id="rId60" Type="http://schemas.openxmlformats.org/officeDocument/2006/relationships/queryTable" Target="../queryTables/queryTable59.xml"/><Relationship Id="rId81" Type="http://schemas.openxmlformats.org/officeDocument/2006/relationships/queryTable" Target="../queryTables/queryTable80.xml"/><Relationship Id="rId135" Type="http://schemas.openxmlformats.org/officeDocument/2006/relationships/queryTable" Target="../queryTables/queryTable134.xml"/><Relationship Id="rId156" Type="http://schemas.openxmlformats.org/officeDocument/2006/relationships/queryTable" Target="../queryTables/queryTable155.xml"/><Relationship Id="rId177" Type="http://schemas.openxmlformats.org/officeDocument/2006/relationships/queryTable" Target="../queryTables/queryTable176.xml"/><Relationship Id="rId198" Type="http://schemas.openxmlformats.org/officeDocument/2006/relationships/queryTable" Target="../queryTables/queryTable197.xml"/><Relationship Id="rId202" Type="http://schemas.openxmlformats.org/officeDocument/2006/relationships/queryTable" Target="../queryTables/queryTable201.xml"/><Relationship Id="rId223" Type="http://schemas.openxmlformats.org/officeDocument/2006/relationships/queryTable" Target="../queryTables/queryTable222.xml"/><Relationship Id="rId18" Type="http://schemas.openxmlformats.org/officeDocument/2006/relationships/queryTable" Target="../queryTables/queryTable17.xml"/><Relationship Id="rId39" Type="http://schemas.openxmlformats.org/officeDocument/2006/relationships/queryTable" Target="../queryTables/queryTable38.xml"/><Relationship Id="rId50" Type="http://schemas.openxmlformats.org/officeDocument/2006/relationships/queryTable" Target="../queryTables/queryTable49.xml"/><Relationship Id="rId104" Type="http://schemas.openxmlformats.org/officeDocument/2006/relationships/queryTable" Target="../queryTables/queryTable103.xml"/><Relationship Id="rId125" Type="http://schemas.openxmlformats.org/officeDocument/2006/relationships/queryTable" Target="../queryTables/queryTable124.xml"/><Relationship Id="rId146" Type="http://schemas.openxmlformats.org/officeDocument/2006/relationships/queryTable" Target="../queryTables/queryTable145.xml"/><Relationship Id="rId167" Type="http://schemas.openxmlformats.org/officeDocument/2006/relationships/queryTable" Target="../queryTables/queryTable166.xml"/><Relationship Id="rId188" Type="http://schemas.openxmlformats.org/officeDocument/2006/relationships/queryTable" Target="../queryTables/queryTable187.xml"/><Relationship Id="rId71" Type="http://schemas.openxmlformats.org/officeDocument/2006/relationships/queryTable" Target="../queryTables/queryTable70.xml"/><Relationship Id="rId92" Type="http://schemas.openxmlformats.org/officeDocument/2006/relationships/queryTable" Target="../queryTables/queryTable91.xml"/><Relationship Id="rId213" Type="http://schemas.openxmlformats.org/officeDocument/2006/relationships/queryTable" Target="../queryTables/queryTable212.xml"/><Relationship Id="rId234" Type="http://schemas.openxmlformats.org/officeDocument/2006/relationships/queryTable" Target="../queryTables/queryTable233.xml"/><Relationship Id="rId2" Type="http://schemas.openxmlformats.org/officeDocument/2006/relationships/queryTable" Target="../queryTables/queryTable1.xml"/><Relationship Id="rId29" Type="http://schemas.openxmlformats.org/officeDocument/2006/relationships/queryTable" Target="../queryTables/queryTable28.xml"/><Relationship Id="rId40" Type="http://schemas.openxmlformats.org/officeDocument/2006/relationships/queryTable" Target="../queryTables/queryTable39.xml"/><Relationship Id="rId115" Type="http://schemas.openxmlformats.org/officeDocument/2006/relationships/queryTable" Target="../queryTables/queryTable114.xml"/><Relationship Id="rId136" Type="http://schemas.openxmlformats.org/officeDocument/2006/relationships/queryTable" Target="../queryTables/queryTable135.xml"/><Relationship Id="rId157" Type="http://schemas.openxmlformats.org/officeDocument/2006/relationships/queryTable" Target="../queryTables/queryTable156.xml"/><Relationship Id="rId178" Type="http://schemas.openxmlformats.org/officeDocument/2006/relationships/queryTable" Target="../queryTables/queryTable177.xml"/><Relationship Id="rId61" Type="http://schemas.openxmlformats.org/officeDocument/2006/relationships/queryTable" Target="../queryTables/queryTable60.xml"/><Relationship Id="rId82" Type="http://schemas.openxmlformats.org/officeDocument/2006/relationships/queryTable" Target="../queryTables/queryTable81.xml"/><Relationship Id="rId199" Type="http://schemas.openxmlformats.org/officeDocument/2006/relationships/queryTable" Target="../queryTables/queryTable198.xml"/><Relationship Id="rId203" Type="http://schemas.openxmlformats.org/officeDocument/2006/relationships/queryTable" Target="../queryTables/queryTable202.xml"/><Relationship Id="rId19" Type="http://schemas.openxmlformats.org/officeDocument/2006/relationships/queryTable" Target="../queryTables/queryTable18.xml"/><Relationship Id="rId224" Type="http://schemas.openxmlformats.org/officeDocument/2006/relationships/queryTable" Target="../queryTables/queryTable223.xml"/><Relationship Id="rId30" Type="http://schemas.openxmlformats.org/officeDocument/2006/relationships/queryTable" Target="../queryTables/queryTable29.xml"/><Relationship Id="rId105" Type="http://schemas.openxmlformats.org/officeDocument/2006/relationships/queryTable" Target="../queryTables/queryTable104.xml"/><Relationship Id="rId126" Type="http://schemas.openxmlformats.org/officeDocument/2006/relationships/queryTable" Target="../queryTables/queryTable125.xml"/><Relationship Id="rId147" Type="http://schemas.openxmlformats.org/officeDocument/2006/relationships/queryTable" Target="../queryTables/queryTable146.xml"/><Relationship Id="rId168" Type="http://schemas.openxmlformats.org/officeDocument/2006/relationships/queryTable" Target="../queryTables/queryTable167.xml"/><Relationship Id="rId51" Type="http://schemas.openxmlformats.org/officeDocument/2006/relationships/queryTable" Target="../queryTables/queryTable50.xml"/><Relationship Id="rId72" Type="http://schemas.openxmlformats.org/officeDocument/2006/relationships/queryTable" Target="../queryTables/queryTable71.xml"/><Relationship Id="rId93" Type="http://schemas.openxmlformats.org/officeDocument/2006/relationships/queryTable" Target="../queryTables/queryTable92.xml"/><Relationship Id="rId189" Type="http://schemas.openxmlformats.org/officeDocument/2006/relationships/queryTable" Target="../queryTables/queryTable188.xml"/><Relationship Id="rId3" Type="http://schemas.openxmlformats.org/officeDocument/2006/relationships/queryTable" Target="../queryTables/queryTable2.xml"/><Relationship Id="rId214" Type="http://schemas.openxmlformats.org/officeDocument/2006/relationships/queryTable" Target="../queryTables/queryTable213.xml"/><Relationship Id="rId235" Type="http://schemas.openxmlformats.org/officeDocument/2006/relationships/queryTable" Target="../queryTables/queryTable234.xml"/><Relationship Id="rId116" Type="http://schemas.openxmlformats.org/officeDocument/2006/relationships/queryTable" Target="../queryTables/queryTable115.xml"/><Relationship Id="rId137" Type="http://schemas.openxmlformats.org/officeDocument/2006/relationships/queryTable" Target="../queryTables/queryTable136.xml"/><Relationship Id="rId158" Type="http://schemas.openxmlformats.org/officeDocument/2006/relationships/queryTable" Target="../queryTables/queryTable157.xml"/><Relationship Id="rId20" Type="http://schemas.openxmlformats.org/officeDocument/2006/relationships/queryTable" Target="../queryTables/queryTable19.xml"/><Relationship Id="rId41" Type="http://schemas.openxmlformats.org/officeDocument/2006/relationships/queryTable" Target="../queryTables/queryTable40.xml"/><Relationship Id="rId62" Type="http://schemas.openxmlformats.org/officeDocument/2006/relationships/queryTable" Target="../queryTables/queryTable61.xml"/><Relationship Id="rId83" Type="http://schemas.openxmlformats.org/officeDocument/2006/relationships/queryTable" Target="../queryTables/queryTable82.xml"/><Relationship Id="rId179" Type="http://schemas.openxmlformats.org/officeDocument/2006/relationships/queryTable" Target="../queryTables/queryTable178.xml"/><Relationship Id="rId190" Type="http://schemas.openxmlformats.org/officeDocument/2006/relationships/queryTable" Target="../queryTables/queryTable189.xml"/><Relationship Id="rId204" Type="http://schemas.openxmlformats.org/officeDocument/2006/relationships/queryTable" Target="../queryTables/queryTable203.xml"/><Relationship Id="rId225" Type="http://schemas.openxmlformats.org/officeDocument/2006/relationships/queryTable" Target="../queryTables/queryTable22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queryTable" Target="../queryTables/queryTable358.xml"/><Relationship Id="rId21" Type="http://schemas.openxmlformats.org/officeDocument/2006/relationships/queryTable" Target="../queryTables/queryTable262.xml"/><Relationship Id="rId42" Type="http://schemas.openxmlformats.org/officeDocument/2006/relationships/queryTable" Target="../queryTables/queryTable283.xml"/><Relationship Id="rId63" Type="http://schemas.openxmlformats.org/officeDocument/2006/relationships/queryTable" Target="../queryTables/queryTable304.xml"/><Relationship Id="rId84" Type="http://schemas.openxmlformats.org/officeDocument/2006/relationships/queryTable" Target="../queryTables/queryTable325.xml"/><Relationship Id="rId138" Type="http://schemas.openxmlformats.org/officeDocument/2006/relationships/queryTable" Target="../queryTables/queryTable379.xml"/><Relationship Id="rId159" Type="http://schemas.openxmlformats.org/officeDocument/2006/relationships/queryTable" Target="../queryTables/queryTable400.xml"/><Relationship Id="rId170" Type="http://schemas.openxmlformats.org/officeDocument/2006/relationships/queryTable" Target="../queryTables/queryTable411.xml"/><Relationship Id="rId191" Type="http://schemas.openxmlformats.org/officeDocument/2006/relationships/queryTable" Target="../queryTables/queryTable432.xml"/><Relationship Id="rId205" Type="http://schemas.openxmlformats.org/officeDocument/2006/relationships/queryTable" Target="../queryTables/queryTable446.xml"/><Relationship Id="rId107" Type="http://schemas.openxmlformats.org/officeDocument/2006/relationships/queryTable" Target="../queryTables/queryTable348.xml"/><Relationship Id="rId11" Type="http://schemas.openxmlformats.org/officeDocument/2006/relationships/queryTable" Target="../queryTables/queryTable252.xml"/><Relationship Id="rId32" Type="http://schemas.openxmlformats.org/officeDocument/2006/relationships/queryTable" Target="../queryTables/queryTable273.xml"/><Relationship Id="rId53" Type="http://schemas.openxmlformats.org/officeDocument/2006/relationships/queryTable" Target="../queryTables/queryTable294.xml"/><Relationship Id="rId74" Type="http://schemas.openxmlformats.org/officeDocument/2006/relationships/queryTable" Target="../queryTables/queryTable315.xml"/><Relationship Id="rId128" Type="http://schemas.openxmlformats.org/officeDocument/2006/relationships/queryTable" Target="../queryTables/queryTable369.xml"/><Relationship Id="rId149" Type="http://schemas.openxmlformats.org/officeDocument/2006/relationships/queryTable" Target="../queryTables/queryTable390.xml"/><Relationship Id="rId5" Type="http://schemas.openxmlformats.org/officeDocument/2006/relationships/queryTable" Target="../queryTables/queryTable246.xml"/><Relationship Id="rId95" Type="http://schemas.openxmlformats.org/officeDocument/2006/relationships/queryTable" Target="../queryTables/queryTable336.xml"/><Relationship Id="rId160" Type="http://schemas.openxmlformats.org/officeDocument/2006/relationships/queryTable" Target="../queryTables/queryTable401.xml"/><Relationship Id="rId181" Type="http://schemas.openxmlformats.org/officeDocument/2006/relationships/queryTable" Target="../queryTables/queryTable422.xml"/><Relationship Id="rId216" Type="http://schemas.openxmlformats.org/officeDocument/2006/relationships/queryTable" Target="../queryTables/queryTable457.xml"/><Relationship Id="rId22" Type="http://schemas.openxmlformats.org/officeDocument/2006/relationships/queryTable" Target="../queryTables/queryTable263.xml"/><Relationship Id="rId43" Type="http://schemas.openxmlformats.org/officeDocument/2006/relationships/queryTable" Target="../queryTables/queryTable284.xml"/><Relationship Id="rId64" Type="http://schemas.openxmlformats.org/officeDocument/2006/relationships/queryTable" Target="../queryTables/queryTable305.xml"/><Relationship Id="rId118" Type="http://schemas.openxmlformats.org/officeDocument/2006/relationships/queryTable" Target="../queryTables/queryTable359.xml"/><Relationship Id="rId139" Type="http://schemas.openxmlformats.org/officeDocument/2006/relationships/queryTable" Target="../queryTables/queryTable380.xml"/><Relationship Id="rId85" Type="http://schemas.openxmlformats.org/officeDocument/2006/relationships/queryTable" Target="../queryTables/queryTable326.xml"/><Relationship Id="rId150" Type="http://schemas.openxmlformats.org/officeDocument/2006/relationships/queryTable" Target="../queryTables/queryTable391.xml"/><Relationship Id="rId171" Type="http://schemas.openxmlformats.org/officeDocument/2006/relationships/queryTable" Target="../queryTables/queryTable412.xml"/><Relationship Id="rId192" Type="http://schemas.openxmlformats.org/officeDocument/2006/relationships/queryTable" Target="../queryTables/queryTable433.xml"/><Relationship Id="rId206" Type="http://schemas.openxmlformats.org/officeDocument/2006/relationships/queryTable" Target="../queryTables/queryTable447.xml"/><Relationship Id="rId12" Type="http://schemas.openxmlformats.org/officeDocument/2006/relationships/queryTable" Target="../queryTables/queryTable253.xml"/><Relationship Id="rId33" Type="http://schemas.openxmlformats.org/officeDocument/2006/relationships/queryTable" Target="../queryTables/queryTable274.xml"/><Relationship Id="rId108" Type="http://schemas.openxmlformats.org/officeDocument/2006/relationships/queryTable" Target="../queryTables/queryTable349.xml"/><Relationship Id="rId129" Type="http://schemas.openxmlformats.org/officeDocument/2006/relationships/queryTable" Target="../queryTables/queryTable370.xml"/><Relationship Id="rId54" Type="http://schemas.openxmlformats.org/officeDocument/2006/relationships/queryTable" Target="../queryTables/queryTable295.xml"/><Relationship Id="rId75" Type="http://schemas.openxmlformats.org/officeDocument/2006/relationships/queryTable" Target="../queryTables/queryTable316.xml"/><Relationship Id="rId96" Type="http://schemas.openxmlformats.org/officeDocument/2006/relationships/queryTable" Target="../queryTables/queryTable337.xml"/><Relationship Id="rId140" Type="http://schemas.openxmlformats.org/officeDocument/2006/relationships/queryTable" Target="../queryTables/queryTable381.xml"/><Relationship Id="rId161" Type="http://schemas.openxmlformats.org/officeDocument/2006/relationships/queryTable" Target="../queryTables/queryTable402.xml"/><Relationship Id="rId182" Type="http://schemas.openxmlformats.org/officeDocument/2006/relationships/queryTable" Target="../queryTables/queryTable423.xml"/><Relationship Id="rId217" Type="http://schemas.openxmlformats.org/officeDocument/2006/relationships/queryTable" Target="../queryTables/queryTable458.xml"/><Relationship Id="rId6" Type="http://schemas.openxmlformats.org/officeDocument/2006/relationships/queryTable" Target="../queryTables/queryTable247.xml"/><Relationship Id="rId23" Type="http://schemas.openxmlformats.org/officeDocument/2006/relationships/queryTable" Target="../queryTables/queryTable264.xml"/><Relationship Id="rId119" Type="http://schemas.openxmlformats.org/officeDocument/2006/relationships/queryTable" Target="../queryTables/queryTable360.xml"/><Relationship Id="rId44" Type="http://schemas.openxmlformats.org/officeDocument/2006/relationships/queryTable" Target="../queryTables/queryTable285.xml"/><Relationship Id="rId65" Type="http://schemas.openxmlformats.org/officeDocument/2006/relationships/queryTable" Target="../queryTables/queryTable306.xml"/><Relationship Id="rId86" Type="http://schemas.openxmlformats.org/officeDocument/2006/relationships/queryTable" Target="../queryTables/queryTable327.xml"/><Relationship Id="rId130" Type="http://schemas.openxmlformats.org/officeDocument/2006/relationships/queryTable" Target="../queryTables/queryTable371.xml"/><Relationship Id="rId151" Type="http://schemas.openxmlformats.org/officeDocument/2006/relationships/queryTable" Target="../queryTables/queryTable392.xml"/><Relationship Id="rId172" Type="http://schemas.openxmlformats.org/officeDocument/2006/relationships/queryTable" Target="../queryTables/queryTable413.xml"/><Relationship Id="rId193" Type="http://schemas.openxmlformats.org/officeDocument/2006/relationships/queryTable" Target="../queryTables/queryTable434.xml"/><Relationship Id="rId207" Type="http://schemas.openxmlformats.org/officeDocument/2006/relationships/queryTable" Target="../queryTables/queryTable448.xml"/><Relationship Id="rId13" Type="http://schemas.openxmlformats.org/officeDocument/2006/relationships/queryTable" Target="../queryTables/queryTable254.xml"/><Relationship Id="rId109" Type="http://schemas.openxmlformats.org/officeDocument/2006/relationships/queryTable" Target="../queryTables/queryTable350.xml"/><Relationship Id="rId34" Type="http://schemas.openxmlformats.org/officeDocument/2006/relationships/queryTable" Target="../queryTables/queryTable275.xml"/><Relationship Id="rId55" Type="http://schemas.openxmlformats.org/officeDocument/2006/relationships/queryTable" Target="../queryTables/queryTable296.xml"/><Relationship Id="rId76" Type="http://schemas.openxmlformats.org/officeDocument/2006/relationships/queryTable" Target="../queryTables/queryTable317.xml"/><Relationship Id="rId97" Type="http://schemas.openxmlformats.org/officeDocument/2006/relationships/queryTable" Target="../queryTables/queryTable338.xml"/><Relationship Id="rId120" Type="http://schemas.openxmlformats.org/officeDocument/2006/relationships/queryTable" Target="../queryTables/queryTable361.xml"/><Relationship Id="rId141" Type="http://schemas.openxmlformats.org/officeDocument/2006/relationships/queryTable" Target="../queryTables/queryTable382.xml"/><Relationship Id="rId7" Type="http://schemas.openxmlformats.org/officeDocument/2006/relationships/queryTable" Target="../queryTables/queryTable248.xml"/><Relationship Id="rId162" Type="http://schemas.openxmlformats.org/officeDocument/2006/relationships/queryTable" Target="../queryTables/queryTable403.xml"/><Relationship Id="rId183" Type="http://schemas.openxmlformats.org/officeDocument/2006/relationships/queryTable" Target="../queryTables/queryTable424.xml"/><Relationship Id="rId218" Type="http://schemas.openxmlformats.org/officeDocument/2006/relationships/queryTable" Target="../queryTables/queryTable459.xml"/><Relationship Id="rId24" Type="http://schemas.openxmlformats.org/officeDocument/2006/relationships/queryTable" Target="../queryTables/queryTable265.xml"/><Relationship Id="rId45" Type="http://schemas.openxmlformats.org/officeDocument/2006/relationships/queryTable" Target="../queryTables/queryTable286.xml"/><Relationship Id="rId66" Type="http://schemas.openxmlformats.org/officeDocument/2006/relationships/queryTable" Target="../queryTables/queryTable307.xml"/><Relationship Id="rId87" Type="http://schemas.openxmlformats.org/officeDocument/2006/relationships/queryTable" Target="../queryTables/queryTable328.xml"/><Relationship Id="rId110" Type="http://schemas.openxmlformats.org/officeDocument/2006/relationships/queryTable" Target="../queryTables/queryTable351.xml"/><Relationship Id="rId131" Type="http://schemas.openxmlformats.org/officeDocument/2006/relationships/queryTable" Target="../queryTables/queryTable372.xml"/><Relationship Id="rId152" Type="http://schemas.openxmlformats.org/officeDocument/2006/relationships/queryTable" Target="../queryTables/queryTable393.xml"/><Relationship Id="rId173" Type="http://schemas.openxmlformats.org/officeDocument/2006/relationships/queryTable" Target="../queryTables/queryTable414.xml"/><Relationship Id="rId194" Type="http://schemas.openxmlformats.org/officeDocument/2006/relationships/queryTable" Target="../queryTables/queryTable435.xml"/><Relationship Id="rId208" Type="http://schemas.openxmlformats.org/officeDocument/2006/relationships/queryTable" Target="../queryTables/queryTable449.xml"/><Relationship Id="rId14" Type="http://schemas.openxmlformats.org/officeDocument/2006/relationships/queryTable" Target="../queryTables/queryTable255.xml"/><Relationship Id="rId35" Type="http://schemas.openxmlformats.org/officeDocument/2006/relationships/queryTable" Target="../queryTables/queryTable276.xml"/><Relationship Id="rId56" Type="http://schemas.openxmlformats.org/officeDocument/2006/relationships/queryTable" Target="../queryTables/queryTable297.xml"/><Relationship Id="rId77" Type="http://schemas.openxmlformats.org/officeDocument/2006/relationships/queryTable" Target="../queryTables/queryTable318.xml"/><Relationship Id="rId100" Type="http://schemas.openxmlformats.org/officeDocument/2006/relationships/queryTable" Target="../queryTables/queryTable341.xml"/><Relationship Id="rId8" Type="http://schemas.openxmlformats.org/officeDocument/2006/relationships/queryTable" Target="../queryTables/queryTable249.xml"/><Relationship Id="rId98" Type="http://schemas.openxmlformats.org/officeDocument/2006/relationships/queryTable" Target="../queryTables/queryTable339.xml"/><Relationship Id="rId121" Type="http://schemas.openxmlformats.org/officeDocument/2006/relationships/queryTable" Target="../queryTables/queryTable362.xml"/><Relationship Id="rId142" Type="http://schemas.openxmlformats.org/officeDocument/2006/relationships/queryTable" Target="../queryTables/queryTable383.xml"/><Relationship Id="rId163" Type="http://schemas.openxmlformats.org/officeDocument/2006/relationships/queryTable" Target="../queryTables/queryTable404.xml"/><Relationship Id="rId184" Type="http://schemas.openxmlformats.org/officeDocument/2006/relationships/queryTable" Target="../queryTables/queryTable425.xml"/><Relationship Id="rId219" Type="http://schemas.openxmlformats.org/officeDocument/2006/relationships/queryTable" Target="../queryTables/queryTable460.xml"/><Relationship Id="rId3" Type="http://schemas.openxmlformats.org/officeDocument/2006/relationships/queryTable" Target="../queryTables/queryTable244.xml"/><Relationship Id="rId214" Type="http://schemas.openxmlformats.org/officeDocument/2006/relationships/queryTable" Target="../queryTables/queryTable455.xml"/><Relationship Id="rId25" Type="http://schemas.openxmlformats.org/officeDocument/2006/relationships/queryTable" Target="../queryTables/queryTable266.xml"/><Relationship Id="rId46" Type="http://schemas.openxmlformats.org/officeDocument/2006/relationships/queryTable" Target="../queryTables/queryTable287.xml"/><Relationship Id="rId67" Type="http://schemas.openxmlformats.org/officeDocument/2006/relationships/queryTable" Target="../queryTables/queryTable308.xml"/><Relationship Id="rId116" Type="http://schemas.openxmlformats.org/officeDocument/2006/relationships/queryTable" Target="../queryTables/queryTable357.xml"/><Relationship Id="rId137" Type="http://schemas.openxmlformats.org/officeDocument/2006/relationships/queryTable" Target="../queryTables/queryTable378.xml"/><Relationship Id="rId158" Type="http://schemas.openxmlformats.org/officeDocument/2006/relationships/queryTable" Target="../queryTables/queryTable399.xml"/><Relationship Id="rId20" Type="http://schemas.openxmlformats.org/officeDocument/2006/relationships/queryTable" Target="../queryTables/queryTable261.xml"/><Relationship Id="rId41" Type="http://schemas.openxmlformats.org/officeDocument/2006/relationships/queryTable" Target="../queryTables/queryTable282.xml"/><Relationship Id="rId62" Type="http://schemas.openxmlformats.org/officeDocument/2006/relationships/queryTable" Target="../queryTables/queryTable303.xml"/><Relationship Id="rId83" Type="http://schemas.openxmlformats.org/officeDocument/2006/relationships/queryTable" Target="../queryTables/queryTable324.xml"/><Relationship Id="rId88" Type="http://schemas.openxmlformats.org/officeDocument/2006/relationships/queryTable" Target="../queryTables/queryTable329.xml"/><Relationship Id="rId111" Type="http://schemas.openxmlformats.org/officeDocument/2006/relationships/queryTable" Target="../queryTables/queryTable352.xml"/><Relationship Id="rId132" Type="http://schemas.openxmlformats.org/officeDocument/2006/relationships/queryTable" Target="../queryTables/queryTable373.xml"/><Relationship Id="rId153" Type="http://schemas.openxmlformats.org/officeDocument/2006/relationships/queryTable" Target="../queryTables/queryTable394.xml"/><Relationship Id="rId174" Type="http://schemas.openxmlformats.org/officeDocument/2006/relationships/queryTable" Target="../queryTables/queryTable415.xml"/><Relationship Id="rId179" Type="http://schemas.openxmlformats.org/officeDocument/2006/relationships/queryTable" Target="../queryTables/queryTable420.xml"/><Relationship Id="rId195" Type="http://schemas.openxmlformats.org/officeDocument/2006/relationships/queryTable" Target="../queryTables/queryTable436.xml"/><Relationship Id="rId209" Type="http://schemas.openxmlformats.org/officeDocument/2006/relationships/queryTable" Target="../queryTables/queryTable450.xml"/><Relationship Id="rId190" Type="http://schemas.openxmlformats.org/officeDocument/2006/relationships/queryTable" Target="../queryTables/queryTable431.xml"/><Relationship Id="rId204" Type="http://schemas.openxmlformats.org/officeDocument/2006/relationships/queryTable" Target="../queryTables/queryTable445.xml"/><Relationship Id="rId220" Type="http://schemas.openxmlformats.org/officeDocument/2006/relationships/queryTable" Target="../queryTables/queryTable461.xml"/><Relationship Id="rId225" Type="http://schemas.openxmlformats.org/officeDocument/2006/relationships/queryTable" Target="../queryTables/queryTable466.xml"/><Relationship Id="rId15" Type="http://schemas.openxmlformats.org/officeDocument/2006/relationships/queryTable" Target="../queryTables/queryTable256.xml"/><Relationship Id="rId36" Type="http://schemas.openxmlformats.org/officeDocument/2006/relationships/queryTable" Target="../queryTables/queryTable277.xml"/><Relationship Id="rId57" Type="http://schemas.openxmlformats.org/officeDocument/2006/relationships/queryTable" Target="../queryTables/queryTable298.xml"/><Relationship Id="rId106" Type="http://schemas.openxmlformats.org/officeDocument/2006/relationships/queryTable" Target="../queryTables/queryTable347.xml"/><Relationship Id="rId127" Type="http://schemas.openxmlformats.org/officeDocument/2006/relationships/queryTable" Target="../queryTables/queryTable368.xml"/><Relationship Id="rId10" Type="http://schemas.openxmlformats.org/officeDocument/2006/relationships/queryTable" Target="../queryTables/queryTable251.xml"/><Relationship Id="rId31" Type="http://schemas.openxmlformats.org/officeDocument/2006/relationships/queryTable" Target="../queryTables/queryTable272.xml"/><Relationship Id="rId52" Type="http://schemas.openxmlformats.org/officeDocument/2006/relationships/queryTable" Target="../queryTables/queryTable293.xml"/><Relationship Id="rId73" Type="http://schemas.openxmlformats.org/officeDocument/2006/relationships/queryTable" Target="../queryTables/queryTable314.xml"/><Relationship Id="rId78" Type="http://schemas.openxmlformats.org/officeDocument/2006/relationships/queryTable" Target="../queryTables/queryTable319.xml"/><Relationship Id="rId94" Type="http://schemas.openxmlformats.org/officeDocument/2006/relationships/queryTable" Target="../queryTables/queryTable335.xml"/><Relationship Id="rId99" Type="http://schemas.openxmlformats.org/officeDocument/2006/relationships/queryTable" Target="../queryTables/queryTable340.xml"/><Relationship Id="rId101" Type="http://schemas.openxmlformats.org/officeDocument/2006/relationships/queryTable" Target="../queryTables/queryTable342.xml"/><Relationship Id="rId122" Type="http://schemas.openxmlformats.org/officeDocument/2006/relationships/queryTable" Target="../queryTables/queryTable363.xml"/><Relationship Id="rId143" Type="http://schemas.openxmlformats.org/officeDocument/2006/relationships/queryTable" Target="../queryTables/queryTable384.xml"/><Relationship Id="rId148" Type="http://schemas.openxmlformats.org/officeDocument/2006/relationships/queryTable" Target="../queryTables/queryTable389.xml"/><Relationship Id="rId164" Type="http://schemas.openxmlformats.org/officeDocument/2006/relationships/queryTable" Target="../queryTables/queryTable405.xml"/><Relationship Id="rId169" Type="http://schemas.openxmlformats.org/officeDocument/2006/relationships/queryTable" Target="../queryTables/queryTable410.xml"/><Relationship Id="rId185" Type="http://schemas.openxmlformats.org/officeDocument/2006/relationships/queryTable" Target="../queryTables/queryTable426.xml"/><Relationship Id="rId4" Type="http://schemas.openxmlformats.org/officeDocument/2006/relationships/queryTable" Target="../queryTables/queryTable245.xml"/><Relationship Id="rId9" Type="http://schemas.openxmlformats.org/officeDocument/2006/relationships/queryTable" Target="../queryTables/queryTable250.xml"/><Relationship Id="rId180" Type="http://schemas.openxmlformats.org/officeDocument/2006/relationships/queryTable" Target="../queryTables/queryTable421.xml"/><Relationship Id="rId210" Type="http://schemas.openxmlformats.org/officeDocument/2006/relationships/queryTable" Target="../queryTables/queryTable451.xml"/><Relationship Id="rId215" Type="http://schemas.openxmlformats.org/officeDocument/2006/relationships/queryTable" Target="../queryTables/queryTable456.xml"/><Relationship Id="rId26" Type="http://schemas.openxmlformats.org/officeDocument/2006/relationships/queryTable" Target="../queryTables/queryTable267.xml"/><Relationship Id="rId47" Type="http://schemas.openxmlformats.org/officeDocument/2006/relationships/queryTable" Target="../queryTables/queryTable288.xml"/><Relationship Id="rId68" Type="http://schemas.openxmlformats.org/officeDocument/2006/relationships/queryTable" Target="../queryTables/queryTable309.xml"/><Relationship Id="rId89" Type="http://schemas.openxmlformats.org/officeDocument/2006/relationships/queryTable" Target="../queryTables/queryTable330.xml"/><Relationship Id="rId112" Type="http://schemas.openxmlformats.org/officeDocument/2006/relationships/queryTable" Target="../queryTables/queryTable353.xml"/><Relationship Id="rId133" Type="http://schemas.openxmlformats.org/officeDocument/2006/relationships/queryTable" Target="../queryTables/queryTable374.xml"/><Relationship Id="rId154" Type="http://schemas.openxmlformats.org/officeDocument/2006/relationships/queryTable" Target="../queryTables/queryTable395.xml"/><Relationship Id="rId175" Type="http://schemas.openxmlformats.org/officeDocument/2006/relationships/queryTable" Target="../queryTables/queryTable416.xml"/><Relationship Id="rId196" Type="http://schemas.openxmlformats.org/officeDocument/2006/relationships/queryTable" Target="../queryTables/queryTable437.xml"/><Relationship Id="rId200" Type="http://schemas.openxmlformats.org/officeDocument/2006/relationships/queryTable" Target="../queryTables/queryTable441.xml"/><Relationship Id="rId16" Type="http://schemas.openxmlformats.org/officeDocument/2006/relationships/queryTable" Target="../queryTables/queryTable257.xml"/><Relationship Id="rId221" Type="http://schemas.openxmlformats.org/officeDocument/2006/relationships/queryTable" Target="../queryTables/queryTable462.xml"/><Relationship Id="rId37" Type="http://schemas.openxmlformats.org/officeDocument/2006/relationships/queryTable" Target="../queryTables/queryTable278.xml"/><Relationship Id="rId58" Type="http://schemas.openxmlformats.org/officeDocument/2006/relationships/queryTable" Target="../queryTables/queryTable299.xml"/><Relationship Id="rId79" Type="http://schemas.openxmlformats.org/officeDocument/2006/relationships/queryTable" Target="../queryTables/queryTable320.xml"/><Relationship Id="rId102" Type="http://schemas.openxmlformats.org/officeDocument/2006/relationships/queryTable" Target="../queryTables/queryTable343.xml"/><Relationship Id="rId123" Type="http://schemas.openxmlformats.org/officeDocument/2006/relationships/queryTable" Target="../queryTables/queryTable364.xml"/><Relationship Id="rId144" Type="http://schemas.openxmlformats.org/officeDocument/2006/relationships/queryTable" Target="../queryTables/queryTable385.xml"/><Relationship Id="rId90" Type="http://schemas.openxmlformats.org/officeDocument/2006/relationships/queryTable" Target="../queryTables/queryTable331.xml"/><Relationship Id="rId165" Type="http://schemas.openxmlformats.org/officeDocument/2006/relationships/queryTable" Target="../queryTables/queryTable406.xml"/><Relationship Id="rId186" Type="http://schemas.openxmlformats.org/officeDocument/2006/relationships/queryTable" Target="../queryTables/queryTable427.xml"/><Relationship Id="rId211" Type="http://schemas.openxmlformats.org/officeDocument/2006/relationships/queryTable" Target="../queryTables/queryTable452.xml"/><Relationship Id="rId27" Type="http://schemas.openxmlformats.org/officeDocument/2006/relationships/queryTable" Target="../queryTables/queryTable268.xml"/><Relationship Id="rId48" Type="http://schemas.openxmlformats.org/officeDocument/2006/relationships/queryTable" Target="../queryTables/queryTable289.xml"/><Relationship Id="rId69" Type="http://schemas.openxmlformats.org/officeDocument/2006/relationships/queryTable" Target="../queryTables/queryTable310.xml"/><Relationship Id="rId113" Type="http://schemas.openxmlformats.org/officeDocument/2006/relationships/queryTable" Target="../queryTables/queryTable354.xml"/><Relationship Id="rId134" Type="http://schemas.openxmlformats.org/officeDocument/2006/relationships/queryTable" Target="../queryTables/queryTable375.xml"/><Relationship Id="rId80" Type="http://schemas.openxmlformats.org/officeDocument/2006/relationships/queryTable" Target="../queryTables/queryTable321.xml"/><Relationship Id="rId155" Type="http://schemas.openxmlformats.org/officeDocument/2006/relationships/queryTable" Target="../queryTables/queryTable396.xml"/><Relationship Id="rId176" Type="http://schemas.openxmlformats.org/officeDocument/2006/relationships/queryTable" Target="../queryTables/queryTable417.xml"/><Relationship Id="rId197" Type="http://schemas.openxmlformats.org/officeDocument/2006/relationships/queryTable" Target="../queryTables/queryTable438.xml"/><Relationship Id="rId201" Type="http://schemas.openxmlformats.org/officeDocument/2006/relationships/queryTable" Target="../queryTables/queryTable442.xml"/><Relationship Id="rId222" Type="http://schemas.openxmlformats.org/officeDocument/2006/relationships/queryTable" Target="../queryTables/queryTable463.xml"/><Relationship Id="rId17" Type="http://schemas.openxmlformats.org/officeDocument/2006/relationships/queryTable" Target="../queryTables/queryTable258.xml"/><Relationship Id="rId38" Type="http://schemas.openxmlformats.org/officeDocument/2006/relationships/queryTable" Target="../queryTables/queryTable279.xml"/><Relationship Id="rId59" Type="http://schemas.openxmlformats.org/officeDocument/2006/relationships/queryTable" Target="../queryTables/queryTable300.xml"/><Relationship Id="rId103" Type="http://schemas.openxmlformats.org/officeDocument/2006/relationships/queryTable" Target="../queryTables/queryTable344.xml"/><Relationship Id="rId124" Type="http://schemas.openxmlformats.org/officeDocument/2006/relationships/queryTable" Target="../queryTables/queryTable365.xml"/><Relationship Id="rId70" Type="http://schemas.openxmlformats.org/officeDocument/2006/relationships/queryTable" Target="../queryTables/queryTable311.xml"/><Relationship Id="rId91" Type="http://schemas.openxmlformats.org/officeDocument/2006/relationships/queryTable" Target="../queryTables/queryTable332.xml"/><Relationship Id="rId145" Type="http://schemas.openxmlformats.org/officeDocument/2006/relationships/queryTable" Target="../queryTables/queryTable386.xml"/><Relationship Id="rId166" Type="http://schemas.openxmlformats.org/officeDocument/2006/relationships/queryTable" Target="../queryTables/queryTable407.xml"/><Relationship Id="rId187" Type="http://schemas.openxmlformats.org/officeDocument/2006/relationships/queryTable" Target="../queryTables/queryTable428.xml"/><Relationship Id="rId1" Type="http://schemas.openxmlformats.org/officeDocument/2006/relationships/drawing" Target="../drawings/drawing3.xml"/><Relationship Id="rId212" Type="http://schemas.openxmlformats.org/officeDocument/2006/relationships/queryTable" Target="../queryTables/queryTable453.xml"/><Relationship Id="rId28" Type="http://schemas.openxmlformats.org/officeDocument/2006/relationships/queryTable" Target="../queryTables/queryTable269.xml"/><Relationship Id="rId49" Type="http://schemas.openxmlformats.org/officeDocument/2006/relationships/queryTable" Target="../queryTables/queryTable290.xml"/><Relationship Id="rId114" Type="http://schemas.openxmlformats.org/officeDocument/2006/relationships/queryTable" Target="../queryTables/queryTable355.xml"/><Relationship Id="rId60" Type="http://schemas.openxmlformats.org/officeDocument/2006/relationships/queryTable" Target="../queryTables/queryTable301.xml"/><Relationship Id="rId81" Type="http://schemas.openxmlformats.org/officeDocument/2006/relationships/queryTable" Target="../queryTables/queryTable322.xml"/><Relationship Id="rId135" Type="http://schemas.openxmlformats.org/officeDocument/2006/relationships/queryTable" Target="../queryTables/queryTable376.xml"/><Relationship Id="rId156" Type="http://schemas.openxmlformats.org/officeDocument/2006/relationships/queryTable" Target="../queryTables/queryTable397.xml"/><Relationship Id="rId177" Type="http://schemas.openxmlformats.org/officeDocument/2006/relationships/queryTable" Target="../queryTables/queryTable418.xml"/><Relationship Id="rId198" Type="http://schemas.openxmlformats.org/officeDocument/2006/relationships/queryTable" Target="../queryTables/queryTable439.xml"/><Relationship Id="rId202" Type="http://schemas.openxmlformats.org/officeDocument/2006/relationships/queryTable" Target="../queryTables/queryTable443.xml"/><Relationship Id="rId223" Type="http://schemas.openxmlformats.org/officeDocument/2006/relationships/queryTable" Target="../queryTables/queryTable464.xml"/><Relationship Id="rId18" Type="http://schemas.openxmlformats.org/officeDocument/2006/relationships/queryTable" Target="../queryTables/queryTable259.xml"/><Relationship Id="rId39" Type="http://schemas.openxmlformats.org/officeDocument/2006/relationships/queryTable" Target="../queryTables/queryTable280.xml"/><Relationship Id="rId50" Type="http://schemas.openxmlformats.org/officeDocument/2006/relationships/queryTable" Target="../queryTables/queryTable291.xml"/><Relationship Id="rId104" Type="http://schemas.openxmlformats.org/officeDocument/2006/relationships/queryTable" Target="../queryTables/queryTable345.xml"/><Relationship Id="rId125" Type="http://schemas.openxmlformats.org/officeDocument/2006/relationships/queryTable" Target="../queryTables/queryTable366.xml"/><Relationship Id="rId146" Type="http://schemas.openxmlformats.org/officeDocument/2006/relationships/queryTable" Target="../queryTables/queryTable387.xml"/><Relationship Id="rId167" Type="http://schemas.openxmlformats.org/officeDocument/2006/relationships/queryTable" Target="../queryTables/queryTable408.xml"/><Relationship Id="rId188" Type="http://schemas.openxmlformats.org/officeDocument/2006/relationships/queryTable" Target="../queryTables/queryTable429.xml"/><Relationship Id="rId71" Type="http://schemas.openxmlformats.org/officeDocument/2006/relationships/queryTable" Target="../queryTables/queryTable312.xml"/><Relationship Id="rId92" Type="http://schemas.openxmlformats.org/officeDocument/2006/relationships/queryTable" Target="../queryTables/queryTable333.xml"/><Relationship Id="rId213" Type="http://schemas.openxmlformats.org/officeDocument/2006/relationships/queryTable" Target="../queryTables/queryTable454.xml"/><Relationship Id="rId2" Type="http://schemas.openxmlformats.org/officeDocument/2006/relationships/queryTable" Target="../queryTables/queryTable243.xml"/><Relationship Id="rId29" Type="http://schemas.openxmlformats.org/officeDocument/2006/relationships/queryTable" Target="../queryTables/queryTable270.xml"/><Relationship Id="rId40" Type="http://schemas.openxmlformats.org/officeDocument/2006/relationships/queryTable" Target="../queryTables/queryTable281.xml"/><Relationship Id="rId115" Type="http://schemas.openxmlformats.org/officeDocument/2006/relationships/queryTable" Target="../queryTables/queryTable356.xml"/><Relationship Id="rId136" Type="http://schemas.openxmlformats.org/officeDocument/2006/relationships/queryTable" Target="../queryTables/queryTable377.xml"/><Relationship Id="rId157" Type="http://schemas.openxmlformats.org/officeDocument/2006/relationships/queryTable" Target="../queryTables/queryTable398.xml"/><Relationship Id="rId178" Type="http://schemas.openxmlformats.org/officeDocument/2006/relationships/queryTable" Target="../queryTables/queryTable419.xml"/><Relationship Id="rId61" Type="http://schemas.openxmlformats.org/officeDocument/2006/relationships/queryTable" Target="../queryTables/queryTable302.xml"/><Relationship Id="rId82" Type="http://schemas.openxmlformats.org/officeDocument/2006/relationships/queryTable" Target="../queryTables/queryTable323.xml"/><Relationship Id="rId199" Type="http://schemas.openxmlformats.org/officeDocument/2006/relationships/queryTable" Target="../queryTables/queryTable440.xml"/><Relationship Id="rId203" Type="http://schemas.openxmlformats.org/officeDocument/2006/relationships/queryTable" Target="../queryTables/queryTable444.xml"/><Relationship Id="rId19" Type="http://schemas.openxmlformats.org/officeDocument/2006/relationships/queryTable" Target="../queryTables/queryTable260.xml"/><Relationship Id="rId224" Type="http://schemas.openxmlformats.org/officeDocument/2006/relationships/queryTable" Target="../queryTables/queryTable465.xml"/><Relationship Id="rId30" Type="http://schemas.openxmlformats.org/officeDocument/2006/relationships/queryTable" Target="../queryTables/queryTable271.xml"/><Relationship Id="rId105" Type="http://schemas.openxmlformats.org/officeDocument/2006/relationships/queryTable" Target="../queryTables/queryTable346.xml"/><Relationship Id="rId126" Type="http://schemas.openxmlformats.org/officeDocument/2006/relationships/queryTable" Target="../queryTables/queryTable367.xml"/><Relationship Id="rId147" Type="http://schemas.openxmlformats.org/officeDocument/2006/relationships/queryTable" Target="../queryTables/queryTable388.xml"/><Relationship Id="rId168" Type="http://schemas.openxmlformats.org/officeDocument/2006/relationships/queryTable" Target="../queryTables/queryTable409.xml"/><Relationship Id="rId51" Type="http://schemas.openxmlformats.org/officeDocument/2006/relationships/queryTable" Target="../queryTables/queryTable292.xml"/><Relationship Id="rId72" Type="http://schemas.openxmlformats.org/officeDocument/2006/relationships/queryTable" Target="../queryTables/queryTable313.xml"/><Relationship Id="rId93" Type="http://schemas.openxmlformats.org/officeDocument/2006/relationships/queryTable" Target="../queryTables/queryTable334.xml"/><Relationship Id="rId189" Type="http://schemas.openxmlformats.org/officeDocument/2006/relationships/queryTable" Target="../queryTables/queryTable43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M6" sqref="M6"/>
    </sheetView>
  </sheetViews>
  <sheetFormatPr baseColWidth="10" defaultRowHeight="14.4" x14ac:dyDescent="0.3"/>
  <cols>
    <col min="1" max="1" width="22.6640625" customWidth="1"/>
    <col min="3" max="3" width="15" customWidth="1"/>
  </cols>
  <sheetData>
    <row r="1" spans="1:3" ht="15.6" x14ac:dyDescent="0.3">
      <c r="A1" s="16" t="s">
        <v>91</v>
      </c>
    </row>
    <row r="2" spans="1:3" ht="15" thickBot="1" x14ac:dyDescent="0.35"/>
    <row r="3" spans="1:3" ht="15" thickBot="1" x14ac:dyDescent="0.35">
      <c r="A3" t="s">
        <v>36</v>
      </c>
      <c r="B3" s="8">
        <v>45097</v>
      </c>
      <c r="C3">
        <f>B4-B3</f>
        <v>14</v>
      </c>
    </row>
    <row r="4" spans="1:3" ht="15" thickBot="1" x14ac:dyDescent="0.35">
      <c r="A4" t="s">
        <v>35</v>
      </c>
      <c r="B4" s="8">
        <v>45111</v>
      </c>
      <c r="C4" s="19" t="s">
        <v>163</v>
      </c>
    </row>
    <row r="5" spans="1:3" ht="15" thickBot="1" x14ac:dyDescent="0.35">
      <c r="A5" t="s">
        <v>37</v>
      </c>
      <c r="B5" s="8">
        <v>45111</v>
      </c>
      <c r="C5" s="19" t="s">
        <v>77</v>
      </c>
    </row>
    <row r="6" spans="1:3" ht="15" thickBot="1" x14ac:dyDescent="0.35">
      <c r="A6" t="s">
        <v>13</v>
      </c>
      <c r="B6" s="8">
        <v>45113</v>
      </c>
      <c r="C6" s="19" t="s">
        <v>73</v>
      </c>
    </row>
    <row r="7" spans="1:3" ht="15" thickBot="1" x14ac:dyDescent="0.35">
      <c r="A7" t="s">
        <v>39</v>
      </c>
      <c r="B7" s="8">
        <v>45115</v>
      </c>
      <c r="C7">
        <f>B7-B5</f>
        <v>4</v>
      </c>
    </row>
    <row r="8" spans="1:3" ht="15" thickBot="1" x14ac:dyDescent="0.35">
      <c r="A8" t="s">
        <v>38</v>
      </c>
      <c r="B8" s="8">
        <v>45124</v>
      </c>
      <c r="C8" s="100">
        <f>B8-B5</f>
        <v>13</v>
      </c>
    </row>
    <row r="9" spans="1:3" ht="15" thickBot="1" x14ac:dyDescent="0.35">
      <c r="A9" t="s">
        <v>40</v>
      </c>
      <c r="B9" s="8">
        <v>45140</v>
      </c>
    </row>
    <row r="10" spans="1:3" ht="15" thickBot="1" x14ac:dyDescent="0.35">
      <c r="A10" t="s">
        <v>34</v>
      </c>
      <c r="B10" s="8">
        <v>45177</v>
      </c>
      <c r="C10" s="100">
        <f>B10-B6</f>
        <v>64</v>
      </c>
    </row>
    <row r="11" spans="1:3" ht="15" thickBot="1" x14ac:dyDescent="0.35">
      <c r="A11" t="s">
        <v>69</v>
      </c>
      <c r="B11" s="8"/>
    </row>
    <row r="12" spans="1:3" ht="15" thickBot="1" x14ac:dyDescent="0.35">
      <c r="A12" t="s">
        <v>56</v>
      </c>
      <c r="B12" s="8">
        <v>45068</v>
      </c>
    </row>
    <row r="13" spans="1:3" ht="15" thickBot="1" x14ac:dyDescent="0.35">
      <c r="A13" t="s">
        <v>57</v>
      </c>
      <c r="B13" s="8">
        <v>45145</v>
      </c>
    </row>
    <row r="14" spans="1:3" x14ac:dyDescent="0.3">
      <c r="A14" t="s">
        <v>79</v>
      </c>
      <c r="B14" s="8">
        <v>45175</v>
      </c>
    </row>
    <row r="15" spans="1:3" x14ac:dyDescent="0.3">
      <c r="B15" s="12"/>
    </row>
    <row r="16" spans="1:3" x14ac:dyDescent="0.3">
      <c r="A16" t="s">
        <v>92</v>
      </c>
    </row>
    <row r="17" spans="1:10" x14ac:dyDescent="0.3">
      <c r="A17" t="s">
        <v>41</v>
      </c>
      <c r="B17" t="s">
        <v>42</v>
      </c>
      <c r="C17" t="s">
        <v>43</v>
      </c>
      <c r="D17" t="s">
        <v>65</v>
      </c>
    </row>
    <row r="18" spans="1:10" x14ac:dyDescent="0.3">
      <c r="A18" s="99">
        <v>213668</v>
      </c>
      <c r="B18" s="93">
        <v>12</v>
      </c>
      <c r="C18" s="98" t="s">
        <v>173</v>
      </c>
      <c r="D18" s="19">
        <v>2777</v>
      </c>
      <c r="E18" t="s">
        <v>169</v>
      </c>
      <c r="F18" s="97" t="s">
        <v>172</v>
      </c>
      <c r="G18" s="17"/>
      <c r="H18" s="17"/>
      <c r="I18" s="17"/>
      <c r="J18" s="100"/>
    </row>
    <row r="19" spans="1:10" x14ac:dyDescent="0.3">
      <c r="A19" s="99">
        <v>213777</v>
      </c>
      <c r="B19" s="93">
        <v>16</v>
      </c>
      <c r="C19" s="98" t="s">
        <v>174</v>
      </c>
      <c r="D19" s="19">
        <v>8688</v>
      </c>
      <c r="E19" s="96" t="s">
        <v>170</v>
      </c>
      <c r="F19" s="97" t="s">
        <v>167</v>
      </c>
      <c r="J19" s="100"/>
    </row>
    <row r="20" spans="1:10" s="95" customFormat="1" x14ac:dyDescent="0.3">
      <c r="A20" s="99">
        <v>213711</v>
      </c>
      <c r="B20" s="93">
        <v>9</v>
      </c>
      <c r="C20" s="98" t="s">
        <v>175</v>
      </c>
      <c r="D20" s="19">
        <v>9213</v>
      </c>
      <c r="E20" s="96" t="s">
        <v>171</v>
      </c>
      <c r="F20" s="97" t="s">
        <v>172</v>
      </c>
      <c r="J20" s="100"/>
    </row>
    <row r="21" spans="1:10" x14ac:dyDescent="0.3">
      <c r="A21" s="17">
        <v>213779</v>
      </c>
      <c r="B21" s="92" t="s">
        <v>74</v>
      </c>
      <c r="C21" s="19" t="s">
        <v>166</v>
      </c>
      <c r="D21" s="19">
        <v>2419</v>
      </c>
      <c r="E21" s="19" t="s">
        <v>168</v>
      </c>
      <c r="F21" s="94" t="s">
        <v>167</v>
      </c>
      <c r="G21" t="s">
        <v>164</v>
      </c>
      <c r="J21" s="100"/>
    </row>
    <row r="22" spans="1:10" x14ac:dyDescent="0.3">
      <c r="A22" s="17">
        <v>213665</v>
      </c>
      <c r="B22" s="92" t="s">
        <v>74</v>
      </c>
      <c r="C22" s="19" t="s">
        <v>166</v>
      </c>
      <c r="D22" s="19">
        <v>2419</v>
      </c>
      <c r="E22" s="19" t="s">
        <v>168</v>
      </c>
      <c r="F22" s="95" t="s">
        <v>167</v>
      </c>
      <c r="G22" t="s">
        <v>165</v>
      </c>
    </row>
    <row r="25" spans="1:10" x14ac:dyDescent="0.3">
      <c r="A25" t="s">
        <v>44</v>
      </c>
    </row>
    <row r="27" spans="1:10" x14ac:dyDescent="0.3">
      <c r="A27" t="s">
        <v>93</v>
      </c>
    </row>
    <row r="28" spans="1:10" s="19" customFormat="1" x14ac:dyDescent="0.3">
      <c r="A28" s="19" t="s">
        <v>94</v>
      </c>
    </row>
    <row r="29" spans="1:10" s="19" customFormat="1" x14ac:dyDescent="0.3"/>
    <row r="30" spans="1:10" s="19" customFormat="1" x14ac:dyDescent="0.3">
      <c r="A30" t="s">
        <v>95</v>
      </c>
      <c r="E30"/>
    </row>
    <row r="31" spans="1:10" s="19" customFormat="1" x14ac:dyDescent="0.3">
      <c r="A31" s="19" t="s">
        <v>97</v>
      </c>
    </row>
    <row r="32" spans="1:10" s="19" customFormat="1" x14ac:dyDescent="0.3"/>
    <row r="33" spans="1:5" s="19" customFormat="1" x14ac:dyDescent="0.3">
      <c r="A33" t="s">
        <v>96</v>
      </c>
      <c r="E33"/>
    </row>
    <row r="34" spans="1:5" s="19" customFormat="1" x14ac:dyDescent="0.3">
      <c r="A34" s="19" t="s">
        <v>98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442"/>
  <sheetViews>
    <sheetView topLeftCell="A40" workbookViewId="0">
      <selection activeCell="B56" sqref="B56"/>
    </sheetView>
  </sheetViews>
  <sheetFormatPr baseColWidth="10" defaultColWidth="15.109375" defaultRowHeight="14.4" x14ac:dyDescent="0.3"/>
  <cols>
    <col min="1" max="1" width="6.5546875" style="29" customWidth="1"/>
    <col min="2" max="2" width="9.6640625" style="29" customWidth="1"/>
    <col min="3" max="3" width="3" style="29" customWidth="1"/>
    <col min="4" max="4" width="4.33203125" style="29" customWidth="1"/>
    <col min="5" max="6" width="18" style="31" customWidth="1"/>
    <col min="7" max="237" width="15.109375" style="11"/>
    <col min="238" max="16384" width="15.109375" style="7"/>
  </cols>
  <sheetData>
    <row r="1" spans="1:7" customFormat="1" ht="15.6" x14ac:dyDescent="0.3">
      <c r="A1" s="16" t="s">
        <v>91</v>
      </c>
      <c r="B1" s="29"/>
      <c r="C1" s="30"/>
      <c r="D1" s="30"/>
      <c r="E1" s="31"/>
      <c r="F1" s="31"/>
    </row>
    <row r="2" spans="1:7" x14ac:dyDescent="0.3">
      <c r="C2" s="30"/>
      <c r="D2" s="30"/>
    </row>
    <row r="3" spans="1:7" x14ac:dyDescent="0.3">
      <c r="C3" s="30"/>
      <c r="D3" s="30"/>
    </row>
    <row r="4" spans="1:7" ht="16.5" customHeight="1" thickBot="1" x14ac:dyDescent="0.35">
      <c r="B4" s="32"/>
      <c r="C4" s="33"/>
      <c r="D4" s="33"/>
      <c r="E4" s="34" t="s">
        <v>86</v>
      </c>
      <c r="F4" s="34" t="s">
        <v>86</v>
      </c>
      <c r="G4" s="24"/>
    </row>
    <row r="5" spans="1:7" ht="16.5" customHeight="1" x14ac:dyDescent="0.3">
      <c r="B5" s="32"/>
      <c r="C5" s="30"/>
      <c r="D5" s="30"/>
      <c r="E5" s="35" t="s">
        <v>58</v>
      </c>
      <c r="F5" s="35" t="s">
        <v>87</v>
      </c>
    </row>
    <row r="6" spans="1:7" ht="15" customHeight="1" thickBot="1" x14ac:dyDescent="0.35">
      <c r="B6" s="32"/>
      <c r="C6" s="36"/>
      <c r="D6" s="30"/>
      <c r="E6" s="37" t="s">
        <v>88</v>
      </c>
      <c r="F6" s="37" t="s">
        <v>88</v>
      </c>
    </row>
    <row r="7" spans="1:7" x14ac:dyDescent="0.3">
      <c r="B7" s="32"/>
      <c r="C7" s="30"/>
      <c r="D7" s="30"/>
      <c r="E7" s="38"/>
      <c r="F7" s="38"/>
    </row>
    <row r="8" spans="1:7" x14ac:dyDescent="0.3">
      <c r="A8" s="39"/>
      <c r="B8" s="40">
        <v>45065</v>
      </c>
      <c r="C8" s="41" t="s">
        <v>28</v>
      </c>
      <c r="D8" s="41"/>
      <c r="E8" s="41"/>
      <c r="F8" s="41"/>
    </row>
    <row r="9" spans="1:7" x14ac:dyDescent="0.3">
      <c r="A9" s="42"/>
      <c r="B9" s="43">
        <v>45066</v>
      </c>
      <c r="C9" s="44" t="s">
        <v>29</v>
      </c>
      <c r="D9" s="44"/>
      <c r="E9" s="44"/>
      <c r="F9" s="44"/>
    </row>
    <row r="10" spans="1:7" x14ac:dyDescent="0.3">
      <c r="A10" s="42"/>
      <c r="B10" s="43">
        <v>45067</v>
      </c>
      <c r="C10" s="44" t="s">
        <v>30</v>
      </c>
      <c r="D10" s="44"/>
      <c r="E10" s="44"/>
      <c r="F10" s="44"/>
    </row>
    <row r="11" spans="1:7" x14ac:dyDescent="0.3">
      <c r="A11" s="39"/>
      <c r="B11" s="40">
        <v>45068</v>
      </c>
      <c r="C11" s="41" t="s">
        <v>25</v>
      </c>
      <c r="D11" s="41"/>
      <c r="E11" s="45" t="s">
        <v>154</v>
      </c>
      <c r="F11" s="45" t="s">
        <v>154</v>
      </c>
    </row>
    <row r="12" spans="1:7" x14ac:dyDescent="0.3">
      <c r="A12" s="39"/>
      <c r="B12" s="40">
        <v>45069</v>
      </c>
      <c r="C12" s="41" t="s">
        <v>26</v>
      </c>
      <c r="D12" s="41"/>
      <c r="E12" s="41"/>
      <c r="F12" s="41"/>
    </row>
    <row r="13" spans="1:7" x14ac:dyDescent="0.3">
      <c r="A13" s="46"/>
      <c r="B13" s="47">
        <v>45070</v>
      </c>
      <c r="C13" s="48" t="s">
        <v>26</v>
      </c>
      <c r="D13" s="48"/>
      <c r="E13" s="48"/>
      <c r="F13" s="48"/>
    </row>
    <row r="14" spans="1:7" x14ac:dyDescent="0.3">
      <c r="A14" s="39"/>
      <c r="B14" s="40">
        <v>45071</v>
      </c>
      <c r="C14" s="41" t="s">
        <v>27</v>
      </c>
      <c r="D14" s="41"/>
      <c r="E14" s="41"/>
      <c r="F14" s="41"/>
    </row>
    <row r="15" spans="1:7" x14ac:dyDescent="0.3">
      <c r="A15" s="39"/>
      <c r="B15" s="40">
        <v>45072</v>
      </c>
      <c r="C15" s="41" t="s">
        <v>28</v>
      </c>
      <c r="D15" s="41"/>
      <c r="E15" s="41"/>
      <c r="F15" s="41"/>
    </row>
    <row r="16" spans="1:7" x14ac:dyDescent="0.3">
      <c r="A16" s="42"/>
      <c r="B16" s="43">
        <v>45073</v>
      </c>
      <c r="C16" s="44" t="s">
        <v>29</v>
      </c>
      <c r="D16" s="44"/>
      <c r="E16" s="44"/>
      <c r="F16" s="44"/>
    </row>
    <row r="17" spans="1:237" x14ac:dyDescent="0.3">
      <c r="A17" s="42"/>
      <c r="B17" s="43">
        <v>45074</v>
      </c>
      <c r="C17" s="44" t="s">
        <v>30</v>
      </c>
      <c r="D17" s="44"/>
      <c r="E17" s="44"/>
      <c r="F17" s="44"/>
    </row>
    <row r="18" spans="1:237" x14ac:dyDescent="0.3">
      <c r="A18" s="42"/>
      <c r="B18" s="43">
        <v>45075</v>
      </c>
      <c r="C18" s="44" t="s">
        <v>25</v>
      </c>
      <c r="D18" s="44"/>
      <c r="E18" s="44"/>
      <c r="F18" s="44"/>
    </row>
    <row r="19" spans="1:237" x14ac:dyDescent="0.3">
      <c r="A19" s="39"/>
      <c r="B19" s="40">
        <v>45076</v>
      </c>
      <c r="C19" s="41" t="s">
        <v>26</v>
      </c>
      <c r="D19" s="41"/>
      <c r="E19" s="41"/>
      <c r="F19" s="41"/>
    </row>
    <row r="20" spans="1:237" x14ac:dyDescent="0.3">
      <c r="A20" s="46"/>
      <c r="B20" s="47">
        <v>45077</v>
      </c>
      <c r="C20" s="48" t="s">
        <v>26</v>
      </c>
      <c r="D20" s="48"/>
      <c r="E20" s="48"/>
      <c r="F20" s="48"/>
    </row>
    <row r="21" spans="1:237" x14ac:dyDescent="0.3">
      <c r="A21" s="39"/>
      <c r="B21" s="40">
        <v>45078</v>
      </c>
      <c r="C21" s="41" t="s">
        <v>27</v>
      </c>
      <c r="D21" s="41"/>
      <c r="E21" s="41"/>
      <c r="F21" s="41"/>
    </row>
    <row r="22" spans="1:237" x14ac:dyDescent="0.3">
      <c r="A22" s="39"/>
      <c r="B22" s="40">
        <v>45079</v>
      </c>
      <c r="C22" s="41" t="s">
        <v>28</v>
      </c>
      <c r="D22" s="41"/>
      <c r="E22" s="41"/>
      <c r="F22" s="41"/>
    </row>
    <row r="23" spans="1:237" s="10" customFormat="1" ht="14.4" customHeight="1" x14ac:dyDescent="0.3">
      <c r="A23" s="42"/>
      <c r="B23" s="43">
        <v>45080</v>
      </c>
      <c r="C23" s="44" t="s">
        <v>29</v>
      </c>
      <c r="D23" s="44"/>
      <c r="E23" s="44"/>
      <c r="F23" s="4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</row>
    <row r="24" spans="1:237" s="10" customFormat="1" x14ac:dyDescent="0.3">
      <c r="A24" s="42"/>
      <c r="B24" s="43">
        <v>45081</v>
      </c>
      <c r="C24" s="44" t="s">
        <v>30</v>
      </c>
      <c r="D24" s="44"/>
      <c r="E24" s="44"/>
      <c r="F24" s="4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</row>
    <row r="25" spans="1:237" s="11" customFormat="1" x14ac:dyDescent="0.3">
      <c r="A25" s="39"/>
      <c r="B25" s="40">
        <v>45082</v>
      </c>
      <c r="C25" s="41" t="s">
        <v>25</v>
      </c>
      <c r="D25" s="41"/>
      <c r="E25" s="41"/>
      <c r="F25" s="41"/>
    </row>
    <row r="26" spans="1:237" x14ac:dyDescent="0.3">
      <c r="A26" s="39"/>
      <c r="B26" s="40">
        <v>45083</v>
      </c>
      <c r="C26" s="41" t="s">
        <v>26</v>
      </c>
      <c r="D26" s="41"/>
      <c r="E26" s="41"/>
      <c r="F26" s="41"/>
    </row>
    <row r="27" spans="1:237" s="9" customFormat="1" x14ac:dyDescent="0.3">
      <c r="A27" s="46"/>
      <c r="B27" s="47">
        <v>45084</v>
      </c>
      <c r="C27" s="48" t="s">
        <v>26</v>
      </c>
      <c r="D27" s="48"/>
      <c r="E27" s="48"/>
      <c r="F27" s="4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</row>
    <row r="28" spans="1:237" x14ac:dyDescent="0.3">
      <c r="A28" s="39"/>
      <c r="B28" s="40">
        <v>45085</v>
      </c>
      <c r="C28" s="41" t="s">
        <v>27</v>
      </c>
      <c r="D28" s="41"/>
      <c r="E28" s="41"/>
      <c r="F28" s="41"/>
    </row>
    <row r="29" spans="1:237" s="11" customFormat="1" x14ac:dyDescent="0.3">
      <c r="A29" s="39"/>
      <c r="B29" s="40">
        <v>45086</v>
      </c>
      <c r="C29" s="41" t="s">
        <v>28</v>
      </c>
      <c r="D29" s="41"/>
      <c r="E29" s="41"/>
      <c r="F29" s="41"/>
    </row>
    <row r="30" spans="1:237" s="10" customFormat="1" x14ac:dyDescent="0.3">
      <c r="A30" s="42"/>
      <c r="B30" s="43">
        <v>45087</v>
      </c>
      <c r="C30" s="44" t="s">
        <v>29</v>
      </c>
      <c r="D30" s="44"/>
      <c r="E30" s="44"/>
      <c r="F30" s="4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</row>
    <row r="31" spans="1:237" s="10" customFormat="1" ht="15" thickBot="1" x14ac:dyDescent="0.35">
      <c r="A31" s="49"/>
      <c r="B31" s="50">
        <v>45088</v>
      </c>
      <c r="C31" s="51" t="s">
        <v>30</v>
      </c>
      <c r="D31" s="52"/>
      <c r="E31" s="52"/>
      <c r="F31" s="52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</row>
    <row r="32" spans="1:237" s="10" customFormat="1" x14ac:dyDescent="0.3">
      <c r="A32" s="39"/>
      <c r="B32" s="40">
        <v>45089</v>
      </c>
      <c r="C32" s="41" t="s">
        <v>25</v>
      </c>
      <c r="D32" s="41"/>
      <c r="E32" s="41"/>
      <c r="F32" s="4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</row>
    <row r="33" spans="1:237" x14ac:dyDescent="0.3">
      <c r="A33" s="39"/>
      <c r="B33" s="40">
        <v>45090</v>
      </c>
      <c r="C33" s="41" t="s">
        <v>26</v>
      </c>
      <c r="D33" s="41"/>
      <c r="E33" s="41"/>
      <c r="F33" s="41"/>
    </row>
    <row r="34" spans="1:237" s="9" customFormat="1" x14ac:dyDescent="0.3">
      <c r="A34" s="46"/>
      <c r="B34" s="47">
        <v>45091</v>
      </c>
      <c r="C34" s="48" t="s">
        <v>26</v>
      </c>
      <c r="D34" s="48"/>
      <c r="E34" s="48"/>
      <c r="F34" s="4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</row>
    <row r="35" spans="1:237" x14ac:dyDescent="0.3">
      <c r="A35" s="39"/>
      <c r="B35" s="40">
        <v>45092</v>
      </c>
      <c r="C35" s="41" t="s">
        <v>27</v>
      </c>
      <c r="D35" s="41"/>
      <c r="E35" s="41"/>
      <c r="F35" s="41"/>
    </row>
    <row r="36" spans="1:237" s="11" customFormat="1" x14ac:dyDescent="0.3">
      <c r="A36" s="39"/>
      <c r="B36" s="40">
        <v>45093</v>
      </c>
      <c r="C36" s="41" t="s">
        <v>28</v>
      </c>
      <c r="D36" s="41"/>
      <c r="E36" s="41"/>
      <c r="F36" s="41"/>
    </row>
    <row r="37" spans="1:237" s="10" customFormat="1" x14ac:dyDescent="0.3">
      <c r="A37" s="42"/>
      <c r="B37" s="43">
        <v>45094</v>
      </c>
      <c r="C37" s="44" t="s">
        <v>29</v>
      </c>
      <c r="D37" s="44"/>
      <c r="E37" s="44"/>
      <c r="F37" s="4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</row>
    <row r="38" spans="1:237" s="10" customFormat="1" ht="15" thickBot="1" x14ac:dyDescent="0.35">
      <c r="A38" s="49"/>
      <c r="B38" s="50">
        <v>45095</v>
      </c>
      <c r="C38" s="51" t="s">
        <v>30</v>
      </c>
      <c r="D38" s="52"/>
      <c r="E38" s="52"/>
      <c r="F38" s="52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</row>
    <row r="39" spans="1:237" s="10" customFormat="1" ht="15" customHeight="1" x14ac:dyDescent="0.3">
      <c r="A39" s="39"/>
      <c r="B39" s="40">
        <v>45096</v>
      </c>
      <c r="C39" s="41" t="s">
        <v>25</v>
      </c>
      <c r="D39" s="41"/>
      <c r="E39" s="53"/>
      <c r="F39" s="53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</row>
    <row r="40" spans="1:237" x14ac:dyDescent="0.3">
      <c r="A40" s="39"/>
      <c r="B40" s="40">
        <v>45097</v>
      </c>
      <c r="C40" s="41" t="s">
        <v>26</v>
      </c>
      <c r="D40" s="41">
        <v>0</v>
      </c>
      <c r="E40" s="45" t="s">
        <v>31</v>
      </c>
      <c r="F40" s="45" t="s">
        <v>31</v>
      </c>
    </row>
    <row r="41" spans="1:237" s="9" customFormat="1" x14ac:dyDescent="0.3">
      <c r="A41" s="46"/>
      <c r="B41" s="47">
        <v>45098</v>
      </c>
      <c r="C41" s="48" t="s">
        <v>26</v>
      </c>
      <c r="D41" s="48">
        <v>1</v>
      </c>
      <c r="E41" s="54"/>
      <c r="F41" s="54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</row>
    <row r="42" spans="1:237" ht="30" customHeight="1" x14ac:dyDescent="0.3">
      <c r="A42" s="39"/>
      <c r="B42" s="40">
        <v>45099</v>
      </c>
      <c r="C42" s="41" t="s">
        <v>27</v>
      </c>
      <c r="D42" s="41">
        <v>2</v>
      </c>
      <c r="E42" s="41"/>
      <c r="F42" s="41"/>
    </row>
    <row r="43" spans="1:237" x14ac:dyDescent="0.3">
      <c r="A43" s="39"/>
      <c r="B43" s="40">
        <v>45100</v>
      </c>
      <c r="C43" s="41" t="s">
        <v>28</v>
      </c>
      <c r="D43" s="41">
        <v>3</v>
      </c>
      <c r="E43" s="41"/>
      <c r="F43" s="41"/>
    </row>
    <row r="44" spans="1:237" s="10" customFormat="1" x14ac:dyDescent="0.3">
      <c r="A44" s="42"/>
      <c r="B44" s="43">
        <v>45101</v>
      </c>
      <c r="C44" s="44" t="s">
        <v>29</v>
      </c>
      <c r="D44" s="44">
        <v>4</v>
      </c>
      <c r="E44" s="44"/>
      <c r="F44" s="44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</row>
    <row r="45" spans="1:237" s="10" customFormat="1" ht="15" thickBot="1" x14ac:dyDescent="0.35">
      <c r="A45" s="49"/>
      <c r="B45" s="50">
        <v>45102</v>
      </c>
      <c r="C45" s="51" t="s">
        <v>30</v>
      </c>
      <c r="D45" s="52">
        <v>5</v>
      </c>
      <c r="E45" s="52"/>
      <c r="F45" s="5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</row>
    <row r="46" spans="1:237" ht="15" thickBot="1" x14ac:dyDescent="0.35">
      <c r="A46" s="39"/>
      <c r="B46" s="55">
        <v>45103</v>
      </c>
      <c r="C46" s="41" t="s">
        <v>25</v>
      </c>
      <c r="D46" s="41">
        <v>6</v>
      </c>
      <c r="E46" s="41"/>
      <c r="F46" s="41"/>
    </row>
    <row r="47" spans="1:237" ht="15" thickBot="1" x14ac:dyDescent="0.35">
      <c r="A47" s="39"/>
      <c r="B47" s="55">
        <v>45104</v>
      </c>
      <c r="C47" s="41" t="s">
        <v>26</v>
      </c>
      <c r="D47" s="41">
        <v>7</v>
      </c>
      <c r="E47" s="41"/>
      <c r="F47" s="41"/>
    </row>
    <row r="48" spans="1:237" s="9" customFormat="1" x14ac:dyDescent="0.3">
      <c r="A48" s="46"/>
      <c r="B48" s="47">
        <v>45105</v>
      </c>
      <c r="C48" s="48" t="s">
        <v>26</v>
      </c>
      <c r="D48" s="48">
        <v>8</v>
      </c>
      <c r="E48" s="48"/>
      <c r="F48" s="48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</row>
    <row r="49" spans="1:237" s="10" customFormat="1" ht="15" thickBot="1" x14ac:dyDescent="0.35">
      <c r="A49" s="39"/>
      <c r="B49" s="55">
        <v>45106</v>
      </c>
      <c r="C49" s="41" t="s">
        <v>27</v>
      </c>
      <c r="D49" s="41">
        <v>9</v>
      </c>
      <c r="E49" s="41"/>
      <c r="F49" s="4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</row>
    <row r="50" spans="1:237" ht="15" thickBot="1" x14ac:dyDescent="0.35">
      <c r="A50" s="39"/>
      <c r="B50" s="55">
        <v>45107</v>
      </c>
      <c r="C50" s="41" t="s">
        <v>28</v>
      </c>
      <c r="D50" s="41">
        <v>10</v>
      </c>
      <c r="E50" s="41"/>
      <c r="F50" s="41"/>
    </row>
    <row r="51" spans="1:237" s="10" customFormat="1" ht="15" thickBot="1" x14ac:dyDescent="0.35">
      <c r="A51" s="42"/>
      <c r="B51" s="56">
        <v>45108</v>
      </c>
      <c r="C51" s="57" t="s">
        <v>29</v>
      </c>
      <c r="D51" s="57">
        <v>11</v>
      </c>
      <c r="E51" s="58"/>
      <c r="F51" s="58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</row>
    <row r="52" spans="1:237" s="10" customFormat="1" ht="15" thickBot="1" x14ac:dyDescent="0.35">
      <c r="A52" s="49"/>
      <c r="B52" s="56">
        <v>45109</v>
      </c>
      <c r="C52" s="59" t="s">
        <v>30</v>
      </c>
      <c r="D52" s="59">
        <v>12</v>
      </c>
      <c r="E52" s="58"/>
      <c r="F52" s="58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</row>
    <row r="53" spans="1:237" ht="15" thickBot="1" x14ac:dyDescent="0.35">
      <c r="A53" s="39"/>
      <c r="B53" s="55">
        <v>45110</v>
      </c>
      <c r="C53" s="41" t="s">
        <v>25</v>
      </c>
      <c r="D53" s="41">
        <v>13</v>
      </c>
      <c r="E53" s="45" t="s">
        <v>154</v>
      </c>
      <c r="F53" s="45" t="s">
        <v>154</v>
      </c>
    </row>
    <row r="54" spans="1:237" ht="58.2" thickBot="1" x14ac:dyDescent="0.35">
      <c r="A54" s="39"/>
      <c r="B54" s="55">
        <v>45111</v>
      </c>
      <c r="C54" s="41" t="s">
        <v>26</v>
      </c>
      <c r="D54" s="41">
        <v>14</v>
      </c>
      <c r="E54" s="45" t="s">
        <v>71</v>
      </c>
      <c r="F54" s="45" t="s">
        <v>89</v>
      </c>
    </row>
    <row r="55" spans="1:237" s="9" customFormat="1" ht="15" thickBot="1" x14ac:dyDescent="0.35">
      <c r="A55" s="46"/>
      <c r="B55" s="60">
        <v>45112</v>
      </c>
      <c r="C55" s="48" t="s">
        <v>26</v>
      </c>
      <c r="D55" s="48">
        <v>15</v>
      </c>
      <c r="E55" s="61" t="s">
        <v>32</v>
      </c>
      <c r="F55" s="48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</row>
    <row r="56" spans="1:237" ht="15" thickBot="1" x14ac:dyDescent="0.35">
      <c r="A56" s="39"/>
      <c r="B56" s="55">
        <v>45113</v>
      </c>
      <c r="C56" s="41" t="s">
        <v>27</v>
      </c>
      <c r="D56" s="41">
        <v>16</v>
      </c>
      <c r="E56" s="45" t="s">
        <v>72</v>
      </c>
      <c r="F56" s="45" t="s">
        <v>90</v>
      </c>
    </row>
    <row r="57" spans="1:237" ht="15" thickBot="1" x14ac:dyDescent="0.35">
      <c r="A57" s="39"/>
      <c r="B57" s="55">
        <v>45114</v>
      </c>
      <c r="C57" s="41" t="s">
        <v>28</v>
      </c>
      <c r="D57" s="41">
        <v>1</v>
      </c>
      <c r="E57" s="45" t="s">
        <v>59</v>
      </c>
      <c r="F57" s="41"/>
    </row>
    <row r="58" spans="1:237" s="10" customFormat="1" ht="15" thickBot="1" x14ac:dyDescent="0.35">
      <c r="A58" s="42"/>
      <c r="B58" s="56">
        <v>45115</v>
      </c>
      <c r="C58" s="57" t="s">
        <v>29</v>
      </c>
      <c r="D58" s="57">
        <v>2</v>
      </c>
      <c r="E58" s="62" t="s">
        <v>32</v>
      </c>
      <c r="F58" s="62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</row>
    <row r="59" spans="1:237" s="10" customFormat="1" ht="15" thickBot="1" x14ac:dyDescent="0.35">
      <c r="A59" s="49"/>
      <c r="B59" s="56">
        <v>45116</v>
      </c>
      <c r="C59" s="59" t="s">
        <v>30</v>
      </c>
      <c r="D59" s="63">
        <v>3</v>
      </c>
      <c r="E59" s="58"/>
      <c r="F59" s="58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</row>
    <row r="60" spans="1:237" s="10" customFormat="1" ht="15" thickBot="1" x14ac:dyDescent="0.35">
      <c r="A60" s="39"/>
      <c r="B60" s="55">
        <v>45117</v>
      </c>
      <c r="C60" s="41" t="s">
        <v>25</v>
      </c>
      <c r="D60" s="41">
        <v>4</v>
      </c>
      <c r="E60" s="41"/>
      <c r="F60" s="4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</row>
    <row r="61" spans="1:237" ht="15" thickBot="1" x14ac:dyDescent="0.35">
      <c r="A61" s="39"/>
      <c r="B61" s="55">
        <v>45118</v>
      </c>
      <c r="C61" s="41" t="s">
        <v>26</v>
      </c>
      <c r="D61" s="41">
        <v>5</v>
      </c>
      <c r="E61" s="41"/>
      <c r="F61" s="41"/>
    </row>
    <row r="62" spans="1:237" s="9" customFormat="1" ht="15" thickBot="1" x14ac:dyDescent="0.35">
      <c r="A62" s="46"/>
      <c r="B62" s="60">
        <v>45119</v>
      </c>
      <c r="C62" s="48" t="s">
        <v>26</v>
      </c>
      <c r="D62" s="48">
        <v>6</v>
      </c>
      <c r="E62" s="48"/>
      <c r="F62" s="48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</row>
    <row r="63" spans="1:237" s="11" customFormat="1" ht="15" thickBot="1" x14ac:dyDescent="0.35">
      <c r="A63" s="39"/>
      <c r="B63" s="55">
        <v>45120</v>
      </c>
      <c r="C63" s="41" t="s">
        <v>27</v>
      </c>
      <c r="D63" s="41">
        <v>7</v>
      </c>
      <c r="E63" s="41"/>
      <c r="F63" s="41"/>
    </row>
    <row r="64" spans="1:237" ht="15" thickBot="1" x14ac:dyDescent="0.35">
      <c r="A64" s="42"/>
      <c r="B64" s="56">
        <v>45121</v>
      </c>
      <c r="C64" s="57" t="s">
        <v>28</v>
      </c>
      <c r="D64" s="57">
        <v>8</v>
      </c>
      <c r="E64" s="57"/>
      <c r="F64" s="57"/>
    </row>
    <row r="65" spans="1:237" s="10" customFormat="1" ht="15" thickBot="1" x14ac:dyDescent="0.35">
      <c r="A65" s="42"/>
      <c r="B65" s="56">
        <v>45122</v>
      </c>
      <c r="C65" s="57" t="s">
        <v>29</v>
      </c>
      <c r="D65" s="57">
        <v>9</v>
      </c>
      <c r="E65" s="57"/>
      <c r="F65" s="57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</row>
    <row r="66" spans="1:237" s="10" customFormat="1" ht="15" thickBot="1" x14ac:dyDescent="0.35">
      <c r="A66" s="49"/>
      <c r="B66" s="56">
        <v>45123</v>
      </c>
      <c r="C66" s="59" t="s">
        <v>30</v>
      </c>
      <c r="D66" s="63">
        <v>10</v>
      </c>
      <c r="E66" s="63"/>
      <c r="F66" s="63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</row>
    <row r="67" spans="1:237" ht="15" thickBot="1" x14ac:dyDescent="0.35">
      <c r="A67" s="39"/>
      <c r="B67" s="55">
        <v>45124</v>
      </c>
      <c r="C67" s="41" t="s">
        <v>25</v>
      </c>
      <c r="D67" s="41">
        <v>11</v>
      </c>
      <c r="E67" s="45" t="s">
        <v>33</v>
      </c>
      <c r="F67" s="45" t="s">
        <v>33</v>
      </c>
    </row>
    <row r="68" spans="1:237" ht="15" thickBot="1" x14ac:dyDescent="0.35">
      <c r="A68" s="39"/>
      <c r="B68" s="55">
        <v>45125</v>
      </c>
      <c r="C68" s="41" t="s">
        <v>26</v>
      </c>
      <c r="D68" s="41">
        <v>12</v>
      </c>
      <c r="E68" s="41"/>
      <c r="F68" s="41"/>
    </row>
    <row r="69" spans="1:237" ht="15" thickBot="1" x14ac:dyDescent="0.35">
      <c r="A69" s="46"/>
      <c r="B69" s="60">
        <v>45126</v>
      </c>
      <c r="C69" s="48" t="s">
        <v>26</v>
      </c>
      <c r="D69" s="48">
        <v>13</v>
      </c>
      <c r="E69" s="48"/>
      <c r="F69" s="48"/>
    </row>
    <row r="70" spans="1:237" ht="15" thickBot="1" x14ac:dyDescent="0.35">
      <c r="A70" s="39"/>
      <c r="B70" s="55">
        <v>45127</v>
      </c>
      <c r="C70" s="41" t="s">
        <v>27</v>
      </c>
      <c r="D70" s="41">
        <v>14</v>
      </c>
      <c r="E70" s="41"/>
      <c r="F70" s="41"/>
    </row>
    <row r="71" spans="1:237" ht="15" thickBot="1" x14ac:dyDescent="0.35">
      <c r="A71" s="39"/>
      <c r="B71" s="55">
        <v>45128</v>
      </c>
      <c r="C71" s="41" t="s">
        <v>28</v>
      </c>
      <c r="D71" s="41">
        <v>15</v>
      </c>
      <c r="E71" s="41"/>
      <c r="F71" s="41"/>
    </row>
    <row r="72" spans="1:237" x14ac:dyDescent="0.3">
      <c r="A72" s="39"/>
      <c r="B72" s="40">
        <v>45129</v>
      </c>
      <c r="C72" s="41" t="s">
        <v>25</v>
      </c>
      <c r="D72" s="41">
        <v>16</v>
      </c>
      <c r="E72" s="41"/>
      <c r="F72" s="41"/>
    </row>
    <row r="73" spans="1:237" x14ac:dyDescent="0.3">
      <c r="A73" s="39"/>
      <c r="B73" s="40">
        <v>45130</v>
      </c>
      <c r="C73" s="41" t="s">
        <v>26</v>
      </c>
      <c r="D73" s="41">
        <v>17</v>
      </c>
      <c r="E73" s="41"/>
      <c r="F73" s="41"/>
    </row>
    <row r="74" spans="1:237" x14ac:dyDescent="0.3">
      <c r="A74" s="46"/>
      <c r="B74" s="47">
        <v>45131</v>
      </c>
      <c r="C74" s="48" t="s">
        <v>26</v>
      </c>
      <c r="D74" s="48">
        <v>18</v>
      </c>
      <c r="E74" s="48"/>
      <c r="F74" s="48"/>
    </row>
    <row r="75" spans="1:237" x14ac:dyDescent="0.3">
      <c r="A75" s="39"/>
      <c r="B75" s="40">
        <v>45132</v>
      </c>
      <c r="C75" s="41" t="s">
        <v>27</v>
      </c>
      <c r="D75" s="41">
        <v>19</v>
      </c>
      <c r="E75" s="41"/>
      <c r="F75" s="41"/>
    </row>
    <row r="76" spans="1:237" x14ac:dyDescent="0.3">
      <c r="A76" s="39"/>
      <c r="B76" s="40">
        <v>45133</v>
      </c>
      <c r="C76" s="41" t="s">
        <v>28</v>
      </c>
      <c r="D76" s="41">
        <v>20</v>
      </c>
      <c r="E76" s="41"/>
      <c r="F76" s="41"/>
    </row>
    <row r="77" spans="1:237" x14ac:dyDescent="0.3">
      <c r="A77" s="42"/>
      <c r="B77" s="43">
        <v>45134</v>
      </c>
      <c r="C77" s="44" t="s">
        <v>29</v>
      </c>
      <c r="D77" s="44">
        <v>21</v>
      </c>
      <c r="E77" s="44"/>
      <c r="F77" s="44"/>
    </row>
    <row r="78" spans="1:237" ht="15" thickBot="1" x14ac:dyDescent="0.35">
      <c r="A78" s="49"/>
      <c r="B78" s="50">
        <v>45135</v>
      </c>
      <c r="C78" s="51" t="s">
        <v>30</v>
      </c>
      <c r="D78" s="52">
        <v>22</v>
      </c>
      <c r="E78" s="52"/>
      <c r="F78" s="52"/>
    </row>
    <row r="79" spans="1:237" x14ac:dyDescent="0.3">
      <c r="A79" s="39"/>
      <c r="B79" s="40">
        <v>45136</v>
      </c>
      <c r="C79" s="41" t="s">
        <v>25</v>
      </c>
      <c r="D79" s="41">
        <v>23</v>
      </c>
      <c r="E79" s="41"/>
      <c r="F79" s="41"/>
    </row>
    <row r="80" spans="1:237" x14ac:dyDescent="0.3">
      <c r="A80" s="39"/>
      <c r="B80" s="40">
        <v>45137</v>
      </c>
      <c r="C80" s="41" t="s">
        <v>26</v>
      </c>
      <c r="D80" s="41">
        <v>24</v>
      </c>
      <c r="E80" s="41"/>
      <c r="F80" s="41"/>
    </row>
    <row r="81" spans="1:237" x14ac:dyDescent="0.3">
      <c r="A81" s="46"/>
      <c r="B81" s="47">
        <v>45138</v>
      </c>
      <c r="C81" s="48" t="s">
        <v>26</v>
      </c>
      <c r="D81" s="48">
        <v>25</v>
      </c>
      <c r="E81" s="48"/>
      <c r="F81" s="48"/>
    </row>
    <row r="82" spans="1:237" x14ac:dyDescent="0.3">
      <c r="A82" s="39"/>
      <c r="B82" s="40">
        <v>45139</v>
      </c>
      <c r="C82" s="41" t="s">
        <v>27</v>
      </c>
      <c r="D82" s="41">
        <v>26</v>
      </c>
      <c r="E82" s="41"/>
      <c r="F82" s="41"/>
    </row>
    <row r="83" spans="1:237" x14ac:dyDescent="0.3">
      <c r="A83" s="39"/>
      <c r="B83" s="40">
        <v>45140</v>
      </c>
      <c r="C83" s="41" t="s">
        <v>28</v>
      </c>
      <c r="D83" s="41">
        <v>27</v>
      </c>
      <c r="E83" s="41"/>
      <c r="F83" s="41"/>
    </row>
    <row r="84" spans="1:237" x14ac:dyDescent="0.3">
      <c r="A84" s="42"/>
      <c r="B84" s="43">
        <v>45141</v>
      </c>
      <c r="C84" s="44" t="s">
        <v>29</v>
      </c>
      <c r="D84" s="44">
        <v>28</v>
      </c>
      <c r="E84" s="44"/>
      <c r="F84" s="44"/>
    </row>
    <row r="85" spans="1:237" ht="15" thickBot="1" x14ac:dyDescent="0.35">
      <c r="A85" s="49"/>
      <c r="B85" s="50">
        <v>45142</v>
      </c>
      <c r="C85" s="51" t="s">
        <v>30</v>
      </c>
      <c r="D85" s="52">
        <v>29</v>
      </c>
      <c r="E85" s="52"/>
      <c r="F85" s="52"/>
    </row>
    <row r="86" spans="1:237" x14ac:dyDescent="0.3">
      <c r="A86" s="39"/>
      <c r="B86" s="40">
        <v>45143</v>
      </c>
      <c r="C86" s="41" t="s">
        <v>25</v>
      </c>
      <c r="D86" s="41">
        <v>30</v>
      </c>
      <c r="E86" s="41"/>
      <c r="F86" s="41"/>
    </row>
    <row r="87" spans="1:237" x14ac:dyDescent="0.3">
      <c r="A87" s="39"/>
      <c r="B87" s="40">
        <v>45144</v>
      </c>
      <c r="C87" s="41" t="s">
        <v>26</v>
      </c>
      <c r="D87" s="41">
        <v>31</v>
      </c>
      <c r="E87" s="41"/>
      <c r="F87" s="41"/>
    </row>
    <row r="88" spans="1:237" x14ac:dyDescent="0.3">
      <c r="A88" s="46"/>
      <c r="B88" s="47">
        <v>45145</v>
      </c>
      <c r="C88" s="48" t="s">
        <v>26</v>
      </c>
      <c r="D88" s="48">
        <v>32</v>
      </c>
      <c r="E88" s="48"/>
      <c r="F88" s="48"/>
    </row>
    <row r="89" spans="1:237" x14ac:dyDescent="0.3">
      <c r="A89" s="39"/>
      <c r="B89" s="40">
        <v>45146</v>
      </c>
      <c r="C89" s="41" t="s">
        <v>27</v>
      </c>
      <c r="D89" s="41">
        <v>33</v>
      </c>
      <c r="E89" s="41"/>
      <c r="F89" s="41"/>
    </row>
    <row r="90" spans="1:237" s="9" customFormat="1" x14ac:dyDescent="0.3">
      <c r="A90" s="39"/>
      <c r="B90" s="40">
        <v>45147</v>
      </c>
      <c r="C90" s="41" t="s">
        <v>28</v>
      </c>
      <c r="D90" s="41">
        <v>34</v>
      </c>
      <c r="E90" s="41"/>
      <c r="F90" s="4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</row>
    <row r="91" spans="1:237" x14ac:dyDescent="0.3">
      <c r="A91" s="42"/>
      <c r="B91" s="43">
        <v>45148</v>
      </c>
      <c r="C91" s="44" t="s">
        <v>29</v>
      </c>
      <c r="D91" s="44">
        <v>35</v>
      </c>
      <c r="E91" s="44"/>
      <c r="F91" s="44"/>
    </row>
    <row r="92" spans="1:237" ht="15" thickBot="1" x14ac:dyDescent="0.35">
      <c r="A92" s="49"/>
      <c r="B92" s="50">
        <v>45149</v>
      </c>
      <c r="C92" s="51" t="s">
        <v>30</v>
      </c>
      <c r="D92" s="52">
        <v>36</v>
      </c>
      <c r="E92" s="52"/>
      <c r="F92" s="52"/>
    </row>
    <row r="93" spans="1:237" s="10" customFormat="1" x14ac:dyDescent="0.3">
      <c r="A93" s="39"/>
      <c r="B93" s="40">
        <v>45150</v>
      </c>
      <c r="C93" s="41" t="s">
        <v>25</v>
      </c>
      <c r="D93" s="41">
        <v>37</v>
      </c>
      <c r="E93" s="41"/>
      <c r="F93" s="4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</row>
    <row r="94" spans="1:237" s="10" customFormat="1" x14ac:dyDescent="0.3">
      <c r="A94" s="39"/>
      <c r="B94" s="40">
        <v>45151</v>
      </c>
      <c r="C94" s="41" t="s">
        <v>26</v>
      </c>
      <c r="D94" s="41">
        <v>38</v>
      </c>
      <c r="E94" s="41"/>
      <c r="F94" s="4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</row>
    <row r="95" spans="1:237" x14ac:dyDescent="0.3">
      <c r="A95" s="46"/>
      <c r="B95" s="47">
        <v>45152</v>
      </c>
      <c r="C95" s="48" t="s">
        <v>26</v>
      </c>
      <c r="D95" s="48">
        <v>39</v>
      </c>
      <c r="E95" s="48"/>
      <c r="F95" s="48"/>
    </row>
    <row r="96" spans="1:237" ht="15" thickBot="1" x14ac:dyDescent="0.35">
      <c r="A96" s="42"/>
      <c r="B96" s="56">
        <v>45153</v>
      </c>
      <c r="C96" s="57" t="s">
        <v>27</v>
      </c>
      <c r="D96" s="57">
        <v>40</v>
      </c>
      <c r="E96" s="57"/>
      <c r="F96" s="57"/>
    </row>
    <row r="97" spans="1:237" s="9" customFormat="1" x14ac:dyDescent="0.3">
      <c r="A97" s="39"/>
      <c r="B97" s="40">
        <v>45154</v>
      </c>
      <c r="C97" s="41" t="s">
        <v>28</v>
      </c>
      <c r="D97" s="41">
        <v>41</v>
      </c>
      <c r="E97" s="41"/>
      <c r="F97" s="4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</row>
    <row r="98" spans="1:237" x14ac:dyDescent="0.3">
      <c r="A98" s="42"/>
      <c r="B98" s="43">
        <v>45155</v>
      </c>
      <c r="C98" s="44" t="s">
        <v>29</v>
      </c>
      <c r="D98" s="44">
        <v>42</v>
      </c>
      <c r="E98" s="44"/>
      <c r="F98" s="44"/>
    </row>
    <row r="99" spans="1:237" ht="15" thickBot="1" x14ac:dyDescent="0.35">
      <c r="A99" s="49"/>
      <c r="B99" s="50">
        <v>45156</v>
      </c>
      <c r="C99" s="51" t="s">
        <v>30</v>
      </c>
      <c r="D99" s="51">
        <v>43</v>
      </c>
      <c r="E99" s="51"/>
      <c r="F99" s="51"/>
    </row>
    <row r="100" spans="1:237" s="10" customFormat="1" ht="28.8" x14ac:dyDescent="0.3">
      <c r="A100" s="39"/>
      <c r="B100" s="40">
        <v>45157</v>
      </c>
      <c r="C100" s="41" t="s">
        <v>25</v>
      </c>
      <c r="D100" s="41">
        <v>44</v>
      </c>
      <c r="E100" s="45" t="s">
        <v>155</v>
      </c>
      <c r="F100" s="45" t="s">
        <v>155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</row>
    <row r="101" spans="1:237" s="10" customFormat="1" x14ac:dyDescent="0.3">
      <c r="A101" s="39"/>
      <c r="B101" s="40">
        <v>45158</v>
      </c>
      <c r="C101" s="41" t="s">
        <v>26</v>
      </c>
      <c r="D101" s="41"/>
      <c r="E101" s="41"/>
      <c r="F101" s="4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</row>
    <row r="102" spans="1:237" x14ac:dyDescent="0.3">
      <c r="A102" s="46"/>
      <c r="B102" s="47">
        <v>45159</v>
      </c>
      <c r="C102" s="48" t="s">
        <v>26</v>
      </c>
      <c r="D102" s="48"/>
      <c r="E102" s="48"/>
      <c r="F102" s="48"/>
    </row>
    <row r="103" spans="1:237" x14ac:dyDescent="0.3">
      <c r="A103" s="39"/>
      <c r="B103" s="40">
        <v>45160</v>
      </c>
      <c r="C103" s="41" t="s">
        <v>27</v>
      </c>
      <c r="D103" s="41"/>
      <c r="E103" s="41"/>
      <c r="F103" s="41"/>
    </row>
    <row r="104" spans="1:237" s="9" customFormat="1" x14ac:dyDescent="0.3">
      <c r="A104" s="39"/>
      <c r="B104" s="40">
        <v>45161</v>
      </c>
      <c r="C104" s="41" t="s">
        <v>28</v>
      </c>
      <c r="D104" s="41"/>
      <c r="E104" s="41"/>
      <c r="F104" s="4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</row>
    <row r="105" spans="1:237" x14ac:dyDescent="0.3">
      <c r="A105" s="42"/>
      <c r="B105" s="43">
        <v>45162</v>
      </c>
      <c r="C105" s="44" t="s">
        <v>29</v>
      </c>
      <c r="D105" s="44"/>
      <c r="E105" s="44"/>
      <c r="F105" s="44"/>
    </row>
    <row r="106" spans="1:237" s="10" customFormat="1" ht="15" thickBot="1" x14ac:dyDescent="0.35">
      <c r="A106" s="49"/>
      <c r="B106" s="50">
        <v>45163</v>
      </c>
      <c r="C106" s="51" t="s">
        <v>30</v>
      </c>
      <c r="D106" s="51"/>
      <c r="E106" s="51"/>
      <c r="F106" s="5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</row>
    <row r="107" spans="1:237" s="10" customFormat="1" x14ac:dyDescent="0.3">
      <c r="A107" s="29"/>
      <c r="B107" s="32"/>
      <c r="C107" s="30"/>
      <c r="D107" s="30"/>
      <c r="E107" s="38"/>
      <c r="F107" s="38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</row>
    <row r="108" spans="1:237" s="10" customFormat="1" x14ac:dyDescent="0.3">
      <c r="A108" s="29"/>
      <c r="B108" s="32"/>
      <c r="C108" s="30"/>
      <c r="D108" s="30"/>
      <c r="E108" s="38"/>
      <c r="F108" s="38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</row>
    <row r="109" spans="1:237" x14ac:dyDescent="0.3">
      <c r="B109" s="32"/>
      <c r="C109" s="30"/>
      <c r="D109" s="30"/>
      <c r="E109" s="38"/>
      <c r="F109" s="38"/>
    </row>
    <row r="110" spans="1:237" x14ac:dyDescent="0.3">
      <c r="B110" s="32"/>
      <c r="C110" s="30"/>
      <c r="D110" s="30"/>
      <c r="E110" s="38"/>
      <c r="F110" s="38"/>
    </row>
    <row r="111" spans="1:237" s="9" customFormat="1" x14ac:dyDescent="0.3">
      <c r="A111" s="29"/>
      <c r="B111" s="32"/>
      <c r="C111" s="30"/>
      <c r="D111" s="30"/>
      <c r="E111" s="38"/>
      <c r="F111" s="38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</row>
    <row r="112" spans="1:237" x14ac:dyDescent="0.3">
      <c r="B112" s="32"/>
      <c r="C112" s="30"/>
      <c r="D112" s="30"/>
      <c r="E112" s="38"/>
      <c r="F112" s="38"/>
    </row>
    <row r="113" spans="2:6" x14ac:dyDescent="0.3">
      <c r="B113" s="32"/>
      <c r="C113" s="30"/>
      <c r="D113" s="30"/>
      <c r="E113" s="38"/>
      <c r="F113" s="38"/>
    </row>
    <row r="114" spans="2:6" x14ac:dyDescent="0.3">
      <c r="B114" s="32"/>
      <c r="C114" s="30"/>
      <c r="D114" s="30"/>
      <c r="E114" s="38"/>
      <c r="F114" s="38"/>
    </row>
    <row r="115" spans="2:6" x14ac:dyDescent="0.3">
      <c r="B115" s="32"/>
      <c r="C115" s="30"/>
      <c r="D115" s="30"/>
      <c r="E115" s="38"/>
      <c r="F115" s="38"/>
    </row>
    <row r="116" spans="2:6" x14ac:dyDescent="0.3">
      <c r="B116" s="32"/>
      <c r="C116" s="30"/>
      <c r="D116" s="30"/>
      <c r="E116" s="38"/>
      <c r="F116" s="38"/>
    </row>
    <row r="117" spans="2:6" x14ac:dyDescent="0.3">
      <c r="B117" s="32"/>
      <c r="C117" s="30"/>
      <c r="D117" s="30"/>
      <c r="E117" s="38"/>
      <c r="F117" s="38"/>
    </row>
    <row r="118" spans="2:6" x14ac:dyDescent="0.3">
      <c r="B118" s="32"/>
      <c r="C118" s="30"/>
      <c r="D118" s="30"/>
      <c r="E118" s="38"/>
      <c r="F118" s="38"/>
    </row>
    <row r="119" spans="2:6" x14ac:dyDescent="0.3">
      <c r="B119" s="32"/>
      <c r="C119" s="30"/>
      <c r="D119" s="30"/>
      <c r="E119" s="38"/>
      <c r="F119" s="38"/>
    </row>
    <row r="120" spans="2:6" x14ac:dyDescent="0.3">
      <c r="B120" s="32"/>
      <c r="C120" s="30"/>
      <c r="D120" s="30"/>
      <c r="E120" s="38"/>
      <c r="F120" s="38"/>
    </row>
    <row r="121" spans="2:6" x14ac:dyDescent="0.3">
      <c r="B121" s="32"/>
      <c r="C121" s="30"/>
      <c r="D121" s="30"/>
      <c r="E121" s="38"/>
      <c r="F121" s="38"/>
    </row>
    <row r="122" spans="2:6" x14ac:dyDescent="0.3">
      <c r="B122" s="32"/>
      <c r="C122" s="30"/>
      <c r="D122" s="30"/>
      <c r="E122" s="38"/>
      <c r="F122" s="38"/>
    </row>
    <row r="123" spans="2:6" x14ac:dyDescent="0.3">
      <c r="B123" s="32"/>
      <c r="C123" s="30"/>
      <c r="D123" s="30"/>
      <c r="E123" s="38"/>
      <c r="F123" s="38"/>
    </row>
    <row r="124" spans="2:6" x14ac:dyDescent="0.3">
      <c r="B124" s="32"/>
      <c r="C124" s="30"/>
      <c r="D124" s="30"/>
      <c r="E124" s="38"/>
      <c r="F124" s="38"/>
    </row>
    <row r="125" spans="2:6" x14ac:dyDescent="0.3">
      <c r="B125" s="32"/>
      <c r="C125" s="30"/>
      <c r="D125" s="30"/>
      <c r="E125" s="38"/>
      <c r="F125" s="38"/>
    </row>
    <row r="126" spans="2:6" x14ac:dyDescent="0.3">
      <c r="B126" s="32"/>
      <c r="C126" s="30"/>
      <c r="D126" s="30"/>
      <c r="E126" s="38"/>
      <c r="F126" s="38"/>
    </row>
    <row r="127" spans="2:6" x14ac:dyDescent="0.3">
      <c r="B127" s="32"/>
      <c r="C127" s="30"/>
      <c r="D127" s="30"/>
      <c r="E127" s="38"/>
      <c r="F127" s="38"/>
    </row>
    <row r="128" spans="2:6" x14ac:dyDescent="0.3">
      <c r="B128" s="32"/>
      <c r="C128" s="30"/>
      <c r="D128" s="30"/>
      <c r="E128" s="38"/>
      <c r="F128" s="38"/>
    </row>
    <row r="129" spans="2:6" x14ac:dyDescent="0.3">
      <c r="B129" s="32"/>
      <c r="C129" s="30"/>
      <c r="D129" s="30"/>
      <c r="E129" s="38"/>
      <c r="F129" s="38"/>
    </row>
    <row r="130" spans="2:6" x14ac:dyDescent="0.3">
      <c r="B130" s="32"/>
      <c r="C130" s="30"/>
      <c r="D130" s="30"/>
      <c r="E130" s="38"/>
      <c r="F130" s="38"/>
    </row>
    <row r="131" spans="2:6" x14ac:dyDescent="0.3">
      <c r="B131" s="32"/>
      <c r="C131" s="30"/>
      <c r="D131" s="30"/>
      <c r="E131" s="38"/>
      <c r="F131" s="38"/>
    </row>
    <row r="132" spans="2:6" x14ac:dyDescent="0.3">
      <c r="B132" s="32"/>
      <c r="C132" s="30"/>
      <c r="D132" s="30"/>
      <c r="E132" s="38"/>
      <c r="F132" s="38"/>
    </row>
    <row r="133" spans="2:6" x14ac:dyDescent="0.3">
      <c r="B133" s="32"/>
      <c r="C133" s="30"/>
      <c r="D133" s="30"/>
      <c r="E133" s="38"/>
      <c r="F133" s="38"/>
    </row>
    <row r="134" spans="2:6" x14ac:dyDescent="0.3">
      <c r="B134" s="32"/>
      <c r="C134" s="30"/>
      <c r="D134" s="30"/>
      <c r="E134" s="38"/>
      <c r="F134" s="38"/>
    </row>
    <row r="135" spans="2:6" x14ac:dyDescent="0.3">
      <c r="B135" s="32"/>
      <c r="C135" s="30"/>
      <c r="D135" s="30"/>
      <c r="E135" s="38"/>
      <c r="F135" s="38"/>
    </row>
    <row r="136" spans="2:6" x14ac:dyDescent="0.3">
      <c r="B136" s="32"/>
      <c r="C136" s="30"/>
      <c r="D136" s="30"/>
      <c r="E136" s="38"/>
      <c r="F136" s="38"/>
    </row>
    <row r="137" spans="2:6" x14ac:dyDescent="0.3">
      <c r="B137" s="32"/>
      <c r="C137" s="30"/>
      <c r="D137" s="30"/>
      <c r="E137" s="38"/>
      <c r="F137" s="38"/>
    </row>
    <row r="138" spans="2:6" x14ac:dyDescent="0.3">
      <c r="B138" s="32"/>
      <c r="C138" s="30"/>
      <c r="D138" s="30"/>
      <c r="E138" s="38"/>
      <c r="F138" s="38"/>
    </row>
    <row r="139" spans="2:6" x14ac:dyDescent="0.3">
      <c r="B139" s="32"/>
      <c r="C139" s="30"/>
      <c r="D139" s="30"/>
      <c r="E139" s="38"/>
      <c r="F139" s="38"/>
    </row>
    <row r="140" spans="2:6" x14ac:dyDescent="0.3">
      <c r="B140" s="32"/>
      <c r="C140" s="30"/>
      <c r="D140" s="30"/>
      <c r="E140" s="38"/>
      <c r="F140" s="38"/>
    </row>
    <row r="141" spans="2:6" x14ac:dyDescent="0.3">
      <c r="B141" s="32"/>
      <c r="C141" s="30"/>
      <c r="D141" s="30"/>
      <c r="E141" s="38"/>
      <c r="F141" s="38"/>
    </row>
    <row r="142" spans="2:6" x14ac:dyDescent="0.3">
      <c r="B142" s="32"/>
      <c r="C142" s="30"/>
      <c r="D142" s="30"/>
      <c r="E142" s="38"/>
      <c r="F142" s="38"/>
    </row>
    <row r="143" spans="2:6" x14ac:dyDescent="0.3">
      <c r="B143" s="32"/>
      <c r="C143" s="30"/>
      <c r="D143" s="30"/>
      <c r="E143" s="38"/>
      <c r="F143" s="38"/>
    </row>
    <row r="144" spans="2:6" x14ac:dyDescent="0.3">
      <c r="B144" s="32"/>
      <c r="C144" s="30"/>
      <c r="D144" s="30"/>
      <c r="E144" s="38"/>
      <c r="F144" s="38"/>
    </row>
    <row r="145" spans="2:6" x14ac:dyDescent="0.3">
      <c r="B145" s="32"/>
      <c r="C145" s="30"/>
      <c r="D145" s="30"/>
      <c r="E145" s="38"/>
      <c r="F145" s="38"/>
    </row>
    <row r="146" spans="2:6" x14ac:dyDescent="0.3">
      <c r="B146" s="32"/>
      <c r="C146" s="30"/>
      <c r="D146" s="30"/>
      <c r="E146" s="38"/>
      <c r="F146" s="38"/>
    </row>
    <row r="147" spans="2:6" x14ac:dyDescent="0.3">
      <c r="B147" s="32"/>
      <c r="C147" s="30"/>
      <c r="D147" s="30"/>
      <c r="E147" s="38"/>
      <c r="F147" s="38"/>
    </row>
    <row r="148" spans="2:6" x14ac:dyDescent="0.3">
      <c r="B148" s="32"/>
      <c r="C148" s="30"/>
      <c r="D148" s="30"/>
      <c r="E148" s="38"/>
      <c r="F148" s="38"/>
    </row>
    <row r="149" spans="2:6" x14ac:dyDescent="0.3">
      <c r="B149" s="32"/>
      <c r="C149" s="30"/>
      <c r="D149" s="30"/>
      <c r="E149" s="38"/>
      <c r="F149" s="38"/>
    </row>
    <row r="150" spans="2:6" x14ac:dyDescent="0.3">
      <c r="B150" s="32"/>
      <c r="C150" s="30"/>
      <c r="D150" s="30"/>
      <c r="E150" s="38"/>
      <c r="F150" s="38"/>
    </row>
    <row r="151" spans="2:6" x14ac:dyDescent="0.3">
      <c r="B151" s="32"/>
      <c r="C151" s="30"/>
      <c r="D151" s="30"/>
      <c r="E151" s="38"/>
      <c r="F151" s="38"/>
    </row>
    <row r="152" spans="2:6" x14ac:dyDescent="0.3">
      <c r="B152" s="32"/>
      <c r="C152" s="30"/>
      <c r="D152" s="30"/>
      <c r="E152" s="38"/>
      <c r="F152" s="38"/>
    </row>
    <row r="153" spans="2:6" x14ac:dyDescent="0.3">
      <c r="B153" s="32"/>
      <c r="C153" s="30"/>
      <c r="D153" s="30"/>
      <c r="E153" s="38"/>
      <c r="F153" s="38"/>
    </row>
    <row r="154" spans="2:6" x14ac:dyDescent="0.3">
      <c r="B154" s="32"/>
      <c r="C154" s="30"/>
      <c r="D154" s="30"/>
      <c r="E154" s="38"/>
      <c r="F154" s="38"/>
    </row>
    <row r="155" spans="2:6" x14ac:dyDescent="0.3">
      <c r="B155" s="32"/>
      <c r="C155" s="30"/>
      <c r="D155" s="30"/>
      <c r="E155" s="38"/>
      <c r="F155" s="38"/>
    </row>
    <row r="156" spans="2:6" x14ac:dyDescent="0.3">
      <c r="B156" s="32"/>
      <c r="C156" s="30"/>
      <c r="D156" s="30"/>
      <c r="E156" s="38"/>
      <c r="F156" s="38"/>
    </row>
    <row r="157" spans="2:6" x14ac:dyDescent="0.3">
      <c r="B157" s="32"/>
      <c r="C157" s="30"/>
      <c r="D157" s="30"/>
      <c r="E157" s="38"/>
      <c r="F157" s="38"/>
    </row>
    <row r="158" spans="2:6" x14ac:dyDescent="0.3">
      <c r="B158" s="32"/>
      <c r="C158" s="30"/>
      <c r="D158" s="30"/>
      <c r="E158" s="38"/>
      <c r="F158" s="38"/>
    </row>
    <row r="159" spans="2:6" x14ac:dyDescent="0.3">
      <c r="B159" s="32"/>
      <c r="C159" s="30"/>
      <c r="D159" s="30"/>
      <c r="E159" s="38"/>
      <c r="F159" s="38"/>
    </row>
    <row r="160" spans="2:6" x14ac:dyDescent="0.3">
      <c r="B160" s="32"/>
      <c r="C160" s="30"/>
      <c r="D160" s="30"/>
      <c r="E160" s="38"/>
      <c r="F160" s="38"/>
    </row>
    <row r="161" spans="2:6" x14ac:dyDescent="0.3">
      <c r="B161" s="32"/>
      <c r="C161" s="30"/>
      <c r="D161" s="30"/>
      <c r="E161" s="38"/>
      <c r="F161" s="38"/>
    </row>
    <row r="162" spans="2:6" x14ac:dyDescent="0.3">
      <c r="B162" s="32"/>
      <c r="C162" s="30"/>
      <c r="D162" s="30"/>
      <c r="E162" s="38"/>
      <c r="F162" s="38"/>
    </row>
    <row r="163" spans="2:6" x14ac:dyDescent="0.3">
      <c r="B163" s="32"/>
      <c r="C163" s="30"/>
      <c r="D163" s="30"/>
      <c r="E163" s="38"/>
      <c r="F163" s="38"/>
    </row>
    <row r="164" spans="2:6" x14ac:dyDescent="0.3">
      <c r="B164" s="32"/>
      <c r="C164" s="30"/>
      <c r="D164" s="30"/>
      <c r="E164" s="38"/>
      <c r="F164" s="38"/>
    </row>
    <row r="165" spans="2:6" x14ac:dyDescent="0.3">
      <c r="B165" s="32"/>
      <c r="C165" s="30"/>
      <c r="D165" s="30"/>
      <c r="E165" s="38"/>
      <c r="F165" s="38"/>
    </row>
    <row r="166" spans="2:6" x14ac:dyDescent="0.3">
      <c r="B166" s="32"/>
      <c r="C166" s="30"/>
      <c r="D166" s="30"/>
      <c r="E166" s="38"/>
      <c r="F166" s="38"/>
    </row>
    <row r="167" spans="2:6" x14ac:dyDescent="0.3">
      <c r="B167" s="32"/>
      <c r="C167" s="30"/>
      <c r="D167" s="30"/>
      <c r="E167" s="38"/>
      <c r="F167" s="38"/>
    </row>
    <row r="168" spans="2:6" x14ac:dyDescent="0.3">
      <c r="B168" s="32"/>
      <c r="C168" s="30"/>
      <c r="D168" s="30"/>
      <c r="E168" s="38"/>
      <c r="F168" s="38"/>
    </row>
    <row r="169" spans="2:6" x14ac:dyDescent="0.3">
      <c r="B169" s="32"/>
      <c r="C169" s="30"/>
      <c r="D169" s="30"/>
      <c r="E169" s="38"/>
      <c r="F169" s="38"/>
    </row>
    <row r="170" spans="2:6" x14ac:dyDescent="0.3">
      <c r="B170" s="32"/>
      <c r="C170" s="30"/>
      <c r="D170" s="30"/>
      <c r="E170" s="38"/>
      <c r="F170" s="38"/>
    </row>
    <row r="171" spans="2:6" x14ac:dyDescent="0.3">
      <c r="B171" s="32"/>
      <c r="C171" s="30"/>
      <c r="D171" s="30"/>
      <c r="E171" s="38"/>
      <c r="F171" s="38"/>
    </row>
    <row r="172" spans="2:6" x14ac:dyDescent="0.3">
      <c r="B172" s="32"/>
      <c r="C172" s="30"/>
      <c r="D172" s="30"/>
      <c r="E172" s="38"/>
      <c r="F172" s="38"/>
    </row>
    <row r="173" spans="2:6" x14ac:dyDescent="0.3">
      <c r="B173" s="32"/>
      <c r="C173" s="30"/>
      <c r="D173" s="30"/>
      <c r="E173" s="38"/>
      <c r="F173" s="38"/>
    </row>
    <row r="174" spans="2:6" x14ac:dyDescent="0.3">
      <c r="B174" s="32"/>
      <c r="C174" s="30"/>
      <c r="D174" s="30"/>
      <c r="E174" s="38"/>
      <c r="F174" s="38"/>
    </row>
    <row r="175" spans="2:6" x14ac:dyDescent="0.3">
      <c r="B175" s="32"/>
      <c r="C175" s="30"/>
      <c r="D175" s="30"/>
      <c r="E175" s="38"/>
      <c r="F175" s="38"/>
    </row>
    <row r="176" spans="2:6" x14ac:dyDescent="0.3">
      <c r="B176" s="32"/>
      <c r="C176" s="30"/>
      <c r="D176" s="30"/>
      <c r="E176" s="38"/>
      <c r="F176" s="38"/>
    </row>
    <row r="177" spans="2:6" x14ac:dyDescent="0.3">
      <c r="B177" s="32"/>
      <c r="C177" s="30"/>
      <c r="D177" s="30"/>
      <c r="E177" s="38"/>
      <c r="F177" s="38"/>
    </row>
    <row r="178" spans="2:6" x14ac:dyDescent="0.3">
      <c r="B178" s="32"/>
      <c r="C178" s="30"/>
      <c r="D178" s="30"/>
      <c r="E178" s="38"/>
      <c r="F178" s="38"/>
    </row>
    <row r="179" spans="2:6" x14ac:dyDescent="0.3">
      <c r="B179" s="32"/>
      <c r="C179" s="30"/>
      <c r="D179" s="30"/>
      <c r="E179" s="38"/>
      <c r="F179" s="38"/>
    </row>
    <row r="180" spans="2:6" x14ac:dyDescent="0.3">
      <c r="B180" s="32"/>
      <c r="C180" s="30"/>
      <c r="D180" s="30"/>
      <c r="E180" s="38"/>
      <c r="F180" s="38"/>
    </row>
    <row r="181" spans="2:6" x14ac:dyDescent="0.3">
      <c r="B181" s="32"/>
      <c r="C181" s="30"/>
      <c r="D181" s="30"/>
      <c r="E181" s="38"/>
      <c r="F181" s="38"/>
    </row>
    <row r="182" spans="2:6" x14ac:dyDescent="0.3">
      <c r="B182" s="32"/>
      <c r="C182" s="30"/>
      <c r="D182" s="30"/>
      <c r="E182" s="38"/>
      <c r="F182" s="38"/>
    </row>
    <row r="183" spans="2:6" x14ac:dyDescent="0.3">
      <c r="B183" s="32"/>
      <c r="C183" s="30"/>
      <c r="D183" s="30"/>
      <c r="E183" s="38"/>
      <c r="F183" s="38"/>
    </row>
    <row r="184" spans="2:6" x14ac:dyDescent="0.3">
      <c r="B184" s="32"/>
      <c r="C184" s="30"/>
      <c r="D184" s="30"/>
      <c r="E184" s="38"/>
      <c r="F184" s="38"/>
    </row>
    <row r="185" spans="2:6" x14ac:dyDescent="0.3">
      <c r="B185" s="32"/>
      <c r="C185" s="30"/>
      <c r="D185" s="30"/>
      <c r="E185" s="38"/>
      <c r="F185" s="38"/>
    </row>
    <row r="186" spans="2:6" x14ac:dyDescent="0.3">
      <c r="B186" s="32"/>
      <c r="C186" s="30"/>
      <c r="D186" s="30"/>
      <c r="E186" s="38"/>
      <c r="F186" s="38"/>
    </row>
    <row r="187" spans="2:6" x14ac:dyDescent="0.3">
      <c r="B187" s="32"/>
      <c r="C187" s="30"/>
      <c r="D187" s="30"/>
      <c r="E187" s="38"/>
      <c r="F187" s="38"/>
    </row>
    <row r="188" spans="2:6" x14ac:dyDescent="0.3">
      <c r="B188" s="32"/>
      <c r="C188" s="30"/>
      <c r="D188" s="30"/>
      <c r="E188" s="38"/>
      <c r="F188" s="38"/>
    </row>
    <row r="189" spans="2:6" x14ac:dyDescent="0.3">
      <c r="B189" s="32"/>
      <c r="C189" s="30"/>
      <c r="D189" s="30"/>
      <c r="E189" s="38"/>
      <c r="F189" s="38"/>
    </row>
    <row r="190" spans="2:6" x14ac:dyDescent="0.3">
      <c r="B190" s="32"/>
      <c r="C190" s="30"/>
      <c r="D190" s="30"/>
      <c r="E190" s="38"/>
      <c r="F190" s="38"/>
    </row>
    <row r="191" spans="2:6" x14ac:dyDescent="0.3">
      <c r="B191" s="32"/>
      <c r="C191" s="30"/>
      <c r="D191" s="30"/>
      <c r="E191" s="38"/>
      <c r="F191" s="38"/>
    </row>
    <row r="192" spans="2:6" x14ac:dyDescent="0.3">
      <c r="B192" s="32"/>
      <c r="C192" s="30"/>
      <c r="D192" s="30"/>
      <c r="E192" s="38"/>
      <c r="F192" s="38"/>
    </row>
    <row r="193" spans="2:6" x14ac:dyDescent="0.3">
      <c r="B193" s="32"/>
      <c r="C193" s="30"/>
      <c r="D193" s="30"/>
      <c r="E193" s="38"/>
      <c r="F193" s="38"/>
    </row>
    <row r="194" spans="2:6" x14ac:dyDescent="0.3">
      <c r="B194" s="32"/>
      <c r="C194" s="30"/>
      <c r="D194" s="30"/>
      <c r="E194" s="38"/>
      <c r="F194" s="38"/>
    </row>
    <row r="195" spans="2:6" x14ac:dyDescent="0.3">
      <c r="B195" s="32"/>
      <c r="C195" s="30"/>
      <c r="D195" s="30"/>
      <c r="E195" s="38"/>
      <c r="F195" s="38"/>
    </row>
    <row r="196" spans="2:6" x14ac:dyDescent="0.3">
      <c r="B196" s="32"/>
      <c r="C196" s="30"/>
      <c r="D196" s="30"/>
      <c r="E196" s="38"/>
      <c r="F196" s="38"/>
    </row>
    <row r="197" spans="2:6" x14ac:dyDescent="0.3">
      <c r="B197" s="32"/>
      <c r="C197" s="30"/>
      <c r="D197" s="30"/>
      <c r="E197" s="38"/>
      <c r="F197" s="38"/>
    </row>
    <row r="198" spans="2:6" x14ac:dyDescent="0.3">
      <c r="B198" s="32"/>
      <c r="C198" s="30"/>
      <c r="D198" s="30"/>
      <c r="E198" s="38"/>
      <c r="F198" s="38"/>
    </row>
    <row r="199" spans="2:6" x14ac:dyDescent="0.3">
      <c r="B199" s="32"/>
      <c r="C199" s="30"/>
      <c r="D199" s="30"/>
      <c r="E199" s="38"/>
      <c r="F199" s="38"/>
    </row>
    <row r="200" spans="2:6" x14ac:dyDescent="0.3">
      <c r="B200" s="32"/>
      <c r="C200" s="30"/>
      <c r="D200" s="30"/>
      <c r="E200" s="38"/>
      <c r="F200" s="38"/>
    </row>
    <row r="201" spans="2:6" x14ac:dyDescent="0.3">
      <c r="B201" s="32"/>
      <c r="C201" s="30"/>
      <c r="D201" s="30"/>
      <c r="E201" s="38"/>
      <c r="F201" s="38"/>
    </row>
    <row r="202" spans="2:6" x14ac:dyDescent="0.3">
      <c r="B202" s="32"/>
      <c r="C202" s="30"/>
      <c r="D202" s="30"/>
      <c r="E202" s="38"/>
      <c r="F202" s="38"/>
    </row>
    <row r="203" spans="2:6" x14ac:dyDescent="0.3">
      <c r="B203" s="32"/>
      <c r="C203" s="30"/>
      <c r="D203" s="30"/>
      <c r="E203" s="38"/>
      <c r="F203" s="38"/>
    </row>
    <row r="204" spans="2:6" x14ac:dyDescent="0.3">
      <c r="B204" s="32"/>
      <c r="C204" s="30"/>
      <c r="D204" s="30"/>
      <c r="E204" s="38"/>
      <c r="F204" s="38"/>
    </row>
    <row r="205" spans="2:6" x14ac:dyDescent="0.3">
      <c r="B205" s="32"/>
      <c r="C205" s="30"/>
      <c r="D205" s="30"/>
      <c r="E205" s="38"/>
      <c r="F205" s="38"/>
    </row>
    <row r="206" spans="2:6" x14ac:dyDescent="0.3">
      <c r="B206" s="32"/>
      <c r="C206" s="30"/>
      <c r="D206" s="30"/>
      <c r="E206" s="38"/>
      <c r="F206" s="38"/>
    </row>
    <row r="207" spans="2:6" x14ac:dyDescent="0.3">
      <c r="B207" s="32"/>
      <c r="C207" s="30"/>
      <c r="D207" s="30"/>
      <c r="E207" s="38"/>
      <c r="F207" s="38"/>
    </row>
    <row r="208" spans="2:6" x14ac:dyDescent="0.3">
      <c r="B208" s="32"/>
      <c r="C208" s="30"/>
      <c r="D208" s="30"/>
      <c r="E208" s="38"/>
      <c r="F208" s="38"/>
    </row>
    <row r="209" spans="2:6" x14ac:dyDescent="0.3">
      <c r="B209" s="32"/>
      <c r="C209" s="30"/>
      <c r="D209" s="30"/>
      <c r="E209" s="38"/>
      <c r="F209" s="38"/>
    </row>
    <row r="210" spans="2:6" x14ac:dyDescent="0.3">
      <c r="B210" s="32"/>
      <c r="C210" s="30"/>
      <c r="D210" s="30"/>
      <c r="E210" s="38"/>
      <c r="F210" s="38"/>
    </row>
    <row r="211" spans="2:6" x14ac:dyDescent="0.3">
      <c r="B211" s="32"/>
      <c r="C211" s="30"/>
      <c r="D211" s="30"/>
      <c r="E211" s="38"/>
      <c r="F211" s="38"/>
    </row>
    <row r="212" spans="2:6" x14ac:dyDescent="0.3">
      <c r="B212" s="32"/>
      <c r="C212" s="30"/>
      <c r="D212" s="30"/>
      <c r="E212" s="38"/>
      <c r="F212" s="38"/>
    </row>
    <row r="213" spans="2:6" x14ac:dyDescent="0.3">
      <c r="B213" s="32"/>
      <c r="C213" s="30"/>
      <c r="D213" s="30"/>
      <c r="E213" s="38"/>
      <c r="F213" s="38"/>
    </row>
    <row r="214" spans="2:6" x14ac:dyDescent="0.3">
      <c r="B214" s="32"/>
      <c r="C214" s="30"/>
      <c r="D214" s="30"/>
      <c r="E214" s="38"/>
      <c r="F214" s="38"/>
    </row>
    <row r="215" spans="2:6" x14ac:dyDescent="0.3">
      <c r="B215" s="32"/>
      <c r="C215" s="30"/>
      <c r="D215" s="30"/>
      <c r="E215" s="38"/>
      <c r="F215" s="38"/>
    </row>
    <row r="216" spans="2:6" x14ac:dyDescent="0.3">
      <c r="B216" s="32"/>
      <c r="C216" s="30"/>
      <c r="D216" s="30"/>
      <c r="E216" s="38"/>
      <c r="F216" s="38"/>
    </row>
    <row r="217" spans="2:6" x14ac:dyDescent="0.3">
      <c r="B217" s="32"/>
      <c r="C217" s="30"/>
      <c r="D217" s="30"/>
      <c r="E217" s="38"/>
      <c r="F217" s="38"/>
    </row>
    <row r="218" spans="2:6" x14ac:dyDescent="0.3">
      <c r="B218" s="32"/>
      <c r="C218" s="30"/>
      <c r="D218" s="30"/>
      <c r="E218" s="38"/>
      <c r="F218" s="38"/>
    </row>
    <row r="219" spans="2:6" x14ac:dyDescent="0.3">
      <c r="B219" s="32"/>
      <c r="C219" s="30"/>
      <c r="D219" s="30"/>
      <c r="E219" s="38"/>
      <c r="F219" s="38"/>
    </row>
    <row r="220" spans="2:6" x14ac:dyDescent="0.3">
      <c r="B220" s="32"/>
      <c r="C220" s="30"/>
      <c r="D220" s="30"/>
      <c r="E220" s="38"/>
      <c r="F220" s="38"/>
    </row>
    <row r="221" spans="2:6" x14ac:dyDescent="0.3">
      <c r="B221" s="32"/>
      <c r="C221" s="30"/>
      <c r="D221" s="30"/>
      <c r="E221" s="38"/>
      <c r="F221" s="38"/>
    </row>
    <row r="222" spans="2:6" x14ac:dyDescent="0.3">
      <c r="B222" s="32"/>
      <c r="C222" s="30"/>
      <c r="D222" s="30"/>
      <c r="E222" s="38"/>
      <c r="F222" s="38"/>
    </row>
    <row r="223" spans="2:6" x14ac:dyDescent="0.3">
      <c r="B223" s="32"/>
      <c r="C223" s="30"/>
      <c r="D223" s="30"/>
      <c r="E223" s="38"/>
      <c r="F223" s="38"/>
    </row>
    <row r="224" spans="2:6" x14ac:dyDescent="0.3">
      <c r="B224" s="32"/>
      <c r="C224" s="30"/>
      <c r="D224" s="30"/>
      <c r="E224" s="38"/>
      <c r="F224" s="38"/>
    </row>
    <row r="225" spans="2:6" x14ac:dyDescent="0.3">
      <c r="B225" s="32"/>
      <c r="C225" s="30"/>
      <c r="D225" s="30"/>
      <c r="E225" s="38"/>
      <c r="F225" s="38"/>
    </row>
    <row r="226" spans="2:6" x14ac:dyDescent="0.3">
      <c r="B226" s="32"/>
      <c r="C226" s="30"/>
      <c r="D226" s="30"/>
      <c r="E226" s="38"/>
      <c r="F226" s="38"/>
    </row>
    <row r="227" spans="2:6" x14ac:dyDescent="0.3">
      <c r="B227" s="32"/>
      <c r="C227" s="30"/>
      <c r="D227" s="30"/>
      <c r="E227" s="38"/>
      <c r="F227" s="38"/>
    </row>
    <row r="228" spans="2:6" x14ac:dyDescent="0.3">
      <c r="B228" s="32"/>
      <c r="C228" s="30"/>
      <c r="D228" s="30"/>
      <c r="E228" s="38"/>
      <c r="F228" s="38"/>
    </row>
    <row r="229" spans="2:6" x14ac:dyDescent="0.3">
      <c r="B229" s="32"/>
      <c r="C229" s="30"/>
      <c r="D229" s="30"/>
      <c r="E229" s="38"/>
      <c r="F229" s="38"/>
    </row>
    <row r="230" spans="2:6" x14ac:dyDescent="0.3">
      <c r="B230" s="32"/>
      <c r="C230" s="30"/>
      <c r="D230" s="30"/>
      <c r="E230" s="38"/>
      <c r="F230" s="38"/>
    </row>
    <row r="231" spans="2:6" x14ac:dyDescent="0.3">
      <c r="B231" s="32"/>
      <c r="C231" s="30"/>
      <c r="D231" s="30"/>
      <c r="E231" s="38"/>
      <c r="F231" s="38"/>
    </row>
    <row r="232" spans="2:6" x14ac:dyDescent="0.3">
      <c r="B232" s="32"/>
      <c r="C232" s="30"/>
      <c r="D232" s="30"/>
      <c r="E232" s="38"/>
      <c r="F232" s="38"/>
    </row>
    <row r="233" spans="2:6" x14ac:dyDescent="0.3">
      <c r="B233" s="32"/>
      <c r="C233" s="30"/>
      <c r="D233" s="30"/>
      <c r="E233" s="38"/>
      <c r="F233" s="38"/>
    </row>
    <row r="234" spans="2:6" x14ac:dyDescent="0.3">
      <c r="B234" s="32"/>
      <c r="C234" s="30"/>
      <c r="D234" s="30"/>
      <c r="E234" s="38"/>
      <c r="F234" s="38"/>
    </row>
    <row r="235" spans="2:6" x14ac:dyDescent="0.3">
      <c r="B235" s="32"/>
      <c r="C235" s="30"/>
      <c r="D235" s="30"/>
      <c r="E235" s="38"/>
      <c r="F235" s="38"/>
    </row>
    <row r="236" spans="2:6" x14ac:dyDescent="0.3">
      <c r="B236" s="32"/>
      <c r="C236" s="30"/>
      <c r="D236" s="30"/>
      <c r="E236" s="38"/>
      <c r="F236" s="38"/>
    </row>
    <row r="237" spans="2:6" x14ac:dyDescent="0.3">
      <c r="B237" s="32"/>
      <c r="C237" s="30"/>
      <c r="D237" s="30"/>
      <c r="E237" s="38"/>
      <c r="F237" s="38"/>
    </row>
    <row r="238" spans="2:6" x14ac:dyDescent="0.3">
      <c r="B238" s="32"/>
      <c r="C238" s="30"/>
      <c r="D238" s="30"/>
      <c r="E238" s="38"/>
      <c r="F238" s="38"/>
    </row>
    <row r="239" spans="2:6" x14ac:dyDescent="0.3">
      <c r="B239" s="32"/>
      <c r="C239" s="30"/>
      <c r="D239" s="30"/>
      <c r="E239" s="38"/>
      <c r="F239" s="38"/>
    </row>
    <row r="240" spans="2:6" x14ac:dyDescent="0.3">
      <c r="B240" s="32"/>
      <c r="C240" s="30"/>
      <c r="D240" s="30"/>
      <c r="E240" s="38"/>
      <c r="F240" s="38"/>
    </row>
    <row r="241" spans="2:6" x14ac:dyDescent="0.3">
      <c r="B241" s="32"/>
      <c r="C241" s="30"/>
      <c r="D241" s="30"/>
      <c r="E241" s="38"/>
      <c r="F241" s="38"/>
    </row>
    <row r="242" spans="2:6" x14ac:dyDescent="0.3">
      <c r="B242" s="32"/>
      <c r="C242" s="30"/>
      <c r="D242" s="30"/>
      <c r="E242" s="38"/>
      <c r="F242" s="38"/>
    </row>
    <row r="243" spans="2:6" x14ac:dyDescent="0.3">
      <c r="B243" s="32"/>
      <c r="C243" s="30"/>
      <c r="D243" s="30"/>
      <c r="E243" s="38"/>
      <c r="F243" s="38"/>
    </row>
    <row r="244" spans="2:6" x14ac:dyDescent="0.3">
      <c r="B244" s="32"/>
      <c r="C244" s="30"/>
      <c r="D244" s="30"/>
      <c r="E244" s="38"/>
      <c r="F244" s="38"/>
    </row>
    <row r="245" spans="2:6" x14ac:dyDescent="0.3">
      <c r="B245" s="32"/>
      <c r="C245" s="30"/>
      <c r="D245" s="30"/>
      <c r="E245" s="38"/>
      <c r="F245" s="38"/>
    </row>
    <row r="246" spans="2:6" x14ac:dyDescent="0.3">
      <c r="B246" s="32"/>
      <c r="C246" s="30"/>
      <c r="D246" s="30"/>
      <c r="E246" s="38"/>
      <c r="F246" s="38"/>
    </row>
    <row r="247" spans="2:6" x14ac:dyDescent="0.3">
      <c r="B247" s="32"/>
      <c r="C247" s="30"/>
      <c r="D247" s="30"/>
      <c r="E247" s="38"/>
      <c r="F247" s="38"/>
    </row>
    <row r="248" spans="2:6" x14ac:dyDescent="0.3">
      <c r="B248" s="32"/>
      <c r="C248" s="30"/>
      <c r="D248" s="30"/>
      <c r="E248" s="38"/>
      <c r="F248" s="38"/>
    </row>
    <row r="249" spans="2:6" x14ac:dyDescent="0.3">
      <c r="B249" s="32"/>
      <c r="C249" s="30"/>
      <c r="D249" s="30"/>
      <c r="E249" s="38"/>
      <c r="F249" s="38"/>
    </row>
    <row r="250" spans="2:6" x14ac:dyDescent="0.3">
      <c r="B250" s="32"/>
      <c r="C250" s="30"/>
      <c r="D250" s="30"/>
      <c r="E250" s="38"/>
      <c r="F250" s="38"/>
    </row>
    <row r="251" spans="2:6" x14ac:dyDescent="0.3">
      <c r="B251" s="32"/>
      <c r="C251" s="30"/>
      <c r="D251" s="30"/>
      <c r="E251" s="38"/>
      <c r="F251" s="38"/>
    </row>
    <row r="252" spans="2:6" x14ac:dyDescent="0.3">
      <c r="B252" s="32"/>
      <c r="C252" s="30"/>
      <c r="D252" s="30"/>
      <c r="E252" s="38"/>
      <c r="F252" s="38"/>
    </row>
    <row r="253" spans="2:6" x14ac:dyDescent="0.3">
      <c r="B253" s="32"/>
      <c r="C253" s="30"/>
      <c r="D253" s="30"/>
      <c r="E253" s="38"/>
      <c r="F253" s="38"/>
    </row>
    <row r="254" spans="2:6" x14ac:dyDescent="0.3">
      <c r="B254" s="32"/>
      <c r="C254" s="30"/>
      <c r="D254" s="30"/>
      <c r="E254" s="38"/>
      <c r="F254" s="38"/>
    </row>
    <row r="255" spans="2:6" x14ac:dyDescent="0.3">
      <c r="B255" s="32"/>
      <c r="C255" s="30"/>
      <c r="D255" s="30"/>
      <c r="E255" s="38"/>
      <c r="F255" s="38"/>
    </row>
    <row r="256" spans="2:6" x14ac:dyDescent="0.3">
      <c r="B256" s="32"/>
      <c r="C256" s="30"/>
      <c r="D256" s="30"/>
      <c r="E256" s="38"/>
      <c r="F256" s="38"/>
    </row>
    <row r="257" spans="2:6" x14ac:dyDescent="0.3">
      <c r="B257" s="32"/>
      <c r="C257" s="30"/>
      <c r="D257" s="30"/>
      <c r="E257" s="38"/>
      <c r="F257" s="38"/>
    </row>
    <row r="258" spans="2:6" x14ac:dyDescent="0.3">
      <c r="B258" s="32"/>
      <c r="C258" s="30"/>
      <c r="D258" s="30"/>
      <c r="E258" s="38"/>
      <c r="F258" s="38"/>
    </row>
    <row r="259" spans="2:6" x14ac:dyDescent="0.3">
      <c r="B259" s="32"/>
      <c r="C259" s="30"/>
      <c r="D259" s="30"/>
      <c r="E259" s="38"/>
      <c r="F259" s="38"/>
    </row>
    <row r="260" spans="2:6" x14ac:dyDescent="0.3">
      <c r="B260" s="32"/>
      <c r="C260" s="30"/>
      <c r="D260" s="30"/>
      <c r="E260" s="38"/>
      <c r="F260" s="38"/>
    </row>
    <row r="261" spans="2:6" x14ac:dyDescent="0.3">
      <c r="B261" s="32"/>
      <c r="C261" s="30"/>
      <c r="D261" s="30"/>
      <c r="E261" s="38"/>
      <c r="F261" s="38"/>
    </row>
    <row r="262" spans="2:6" x14ac:dyDescent="0.3">
      <c r="B262" s="32"/>
      <c r="C262" s="30"/>
      <c r="D262" s="30"/>
      <c r="E262" s="38"/>
      <c r="F262" s="38"/>
    </row>
    <row r="263" spans="2:6" x14ac:dyDescent="0.3">
      <c r="B263" s="32"/>
      <c r="C263" s="30"/>
      <c r="D263" s="30"/>
      <c r="E263" s="38"/>
      <c r="F263" s="38"/>
    </row>
    <row r="264" spans="2:6" x14ac:dyDescent="0.3">
      <c r="B264" s="32"/>
      <c r="C264" s="30"/>
      <c r="D264" s="30"/>
      <c r="E264" s="38"/>
      <c r="F264" s="38"/>
    </row>
    <row r="265" spans="2:6" x14ac:dyDescent="0.3">
      <c r="B265" s="32"/>
      <c r="C265" s="30"/>
      <c r="D265" s="30"/>
      <c r="E265" s="38"/>
      <c r="F265" s="38"/>
    </row>
    <row r="266" spans="2:6" x14ac:dyDescent="0.3">
      <c r="B266" s="32"/>
      <c r="C266" s="30"/>
      <c r="D266" s="30"/>
      <c r="E266" s="38"/>
      <c r="F266" s="38"/>
    </row>
    <row r="267" spans="2:6" x14ac:dyDescent="0.3">
      <c r="B267" s="32"/>
      <c r="C267" s="30"/>
      <c r="D267" s="30"/>
      <c r="E267" s="38"/>
      <c r="F267" s="38"/>
    </row>
    <row r="268" spans="2:6" x14ac:dyDescent="0.3">
      <c r="B268" s="32"/>
      <c r="C268" s="30"/>
      <c r="D268" s="30"/>
      <c r="E268" s="38"/>
      <c r="F268" s="38"/>
    </row>
    <row r="269" spans="2:6" x14ac:dyDescent="0.3">
      <c r="B269" s="32"/>
      <c r="C269" s="30"/>
      <c r="D269" s="30"/>
      <c r="E269" s="38"/>
      <c r="F269" s="38"/>
    </row>
    <row r="270" spans="2:6" x14ac:dyDescent="0.3">
      <c r="B270" s="32"/>
      <c r="C270" s="30"/>
      <c r="D270" s="30"/>
      <c r="E270" s="38"/>
      <c r="F270" s="38"/>
    </row>
    <row r="271" spans="2:6" x14ac:dyDescent="0.3">
      <c r="B271" s="32"/>
      <c r="C271" s="30"/>
      <c r="D271" s="30"/>
      <c r="E271" s="38"/>
      <c r="F271" s="38"/>
    </row>
    <row r="272" spans="2:6" x14ac:dyDescent="0.3">
      <c r="B272" s="32"/>
      <c r="C272" s="30"/>
      <c r="D272" s="30"/>
      <c r="E272" s="38"/>
      <c r="F272" s="38"/>
    </row>
    <row r="273" spans="2:6" x14ac:dyDescent="0.3">
      <c r="B273" s="32"/>
      <c r="C273" s="30"/>
      <c r="D273" s="30"/>
      <c r="E273" s="38"/>
      <c r="F273" s="38"/>
    </row>
    <row r="274" spans="2:6" x14ac:dyDescent="0.3">
      <c r="B274" s="32"/>
      <c r="C274" s="30"/>
      <c r="D274" s="30"/>
      <c r="E274" s="38"/>
      <c r="F274" s="38"/>
    </row>
    <row r="275" spans="2:6" x14ac:dyDescent="0.3">
      <c r="B275" s="32"/>
      <c r="C275" s="30"/>
      <c r="D275" s="30"/>
      <c r="E275" s="38"/>
      <c r="F275" s="38"/>
    </row>
    <row r="276" spans="2:6" x14ac:dyDescent="0.3">
      <c r="B276" s="32"/>
      <c r="C276" s="30"/>
      <c r="D276" s="30"/>
      <c r="E276" s="38"/>
      <c r="F276" s="38"/>
    </row>
    <row r="277" spans="2:6" x14ac:dyDescent="0.3">
      <c r="B277" s="32"/>
      <c r="C277" s="30"/>
      <c r="D277" s="30"/>
      <c r="E277" s="38"/>
      <c r="F277" s="38"/>
    </row>
    <row r="278" spans="2:6" x14ac:dyDescent="0.3">
      <c r="B278" s="32"/>
      <c r="C278" s="30"/>
      <c r="D278" s="30"/>
      <c r="E278" s="38"/>
      <c r="F278" s="38"/>
    </row>
    <row r="279" spans="2:6" x14ac:dyDescent="0.3">
      <c r="B279" s="32"/>
      <c r="C279" s="30"/>
      <c r="D279" s="30"/>
      <c r="E279" s="38"/>
      <c r="F279" s="38"/>
    </row>
    <row r="280" spans="2:6" x14ac:dyDescent="0.3">
      <c r="B280" s="32"/>
      <c r="C280" s="30"/>
      <c r="D280" s="30"/>
      <c r="E280" s="38"/>
      <c r="F280" s="38"/>
    </row>
    <row r="281" spans="2:6" x14ac:dyDescent="0.3">
      <c r="B281" s="32"/>
      <c r="C281" s="30"/>
      <c r="D281" s="30"/>
      <c r="E281" s="38"/>
      <c r="F281" s="38"/>
    </row>
    <row r="282" spans="2:6" x14ac:dyDescent="0.3">
      <c r="B282" s="32"/>
      <c r="C282" s="30"/>
      <c r="D282" s="30"/>
      <c r="E282" s="38"/>
      <c r="F282" s="38"/>
    </row>
    <row r="283" spans="2:6" x14ac:dyDescent="0.3">
      <c r="B283" s="32"/>
      <c r="C283" s="30"/>
      <c r="D283" s="30"/>
      <c r="E283" s="38"/>
      <c r="F283" s="38"/>
    </row>
    <row r="284" spans="2:6" x14ac:dyDescent="0.3">
      <c r="B284" s="32"/>
      <c r="C284" s="30"/>
      <c r="D284" s="30"/>
      <c r="E284" s="38"/>
      <c r="F284" s="38"/>
    </row>
    <row r="285" spans="2:6" x14ac:dyDescent="0.3">
      <c r="B285" s="32"/>
      <c r="C285" s="30"/>
      <c r="D285" s="30"/>
      <c r="E285" s="38"/>
      <c r="F285" s="38"/>
    </row>
    <row r="286" spans="2:6" x14ac:dyDescent="0.3">
      <c r="B286" s="32"/>
      <c r="C286" s="30"/>
      <c r="D286" s="30"/>
      <c r="E286" s="38"/>
      <c r="F286" s="38"/>
    </row>
    <row r="287" spans="2:6" x14ac:dyDescent="0.3">
      <c r="B287" s="32"/>
      <c r="C287" s="30"/>
      <c r="D287" s="30"/>
      <c r="E287" s="38"/>
      <c r="F287" s="38"/>
    </row>
    <row r="288" spans="2:6" x14ac:dyDescent="0.3">
      <c r="B288" s="32"/>
      <c r="C288" s="30"/>
      <c r="D288" s="30"/>
      <c r="E288" s="38"/>
      <c r="F288" s="38"/>
    </row>
    <row r="289" spans="2:6" x14ac:dyDescent="0.3">
      <c r="B289" s="32"/>
      <c r="C289" s="30"/>
      <c r="D289" s="30"/>
      <c r="E289" s="38"/>
      <c r="F289" s="38"/>
    </row>
    <row r="290" spans="2:6" x14ac:dyDescent="0.3">
      <c r="B290" s="32"/>
      <c r="C290" s="30"/>
      <c r="D290" s="30"/>
      <c r="E290" s="38"/>
      <c r="F290" s="38"/>
    </row>
    <row r="291" spans="2:6" x14ac:dyDescent="0.3">
      <c r="B291" s="32"/>
      <c r="C291" s="30"/>
      <c r="D291" s="30"/>
      <c r="E291" s="38"/>
      <c r="F291" s="38"/>
    </row>
    <row r="292" spans="2:6" x14ac:dyDescent="0.3">
      <c r="B292" s="32"/>
      <c r="C292" s="30"/>
      <c r="D292" s="30"/>
      <c r="E292" s="38"/>
      <c r="F292" s="38"/>
    </row>
    <row r="293" spans="2:6" x14ac:dyDescent="0.3">
      <c r="B293" s="32"/>
      <c r="C293" s="30"/>
      <c r="D293" s="30"/>
      <c r="E293" s="38"/>
      <c r="F293" s="38"/>
    </row>
    <row r="294" spans="2:6" x14ac:dyDescent="0.3">
      <c r="B294" s="32"/>
      <c r="C294" s="30"/>
      <c r="D294" s="30"/>
      <c r="E294" s="38"/>
      <c r="F294" s="38"/>
    </row>
    <row r="295" spans="2:6" x14ac:dyDescent="0.3">
      <c r="B295" s="32"/>
      <c r="C295" s="30"/>
      <c r="D295" s="30"/>
      <c r="E295" s="38"/>
      <c r="F295" s="38"/>
    </row>
    <row r="296" spans="2:6" x14ac:dyDescent="0.3">
      <c r="B296" s="32"/>
      <c r="C296" s="30"/>
      <c r="D296" s="30"/>
      <c r="E296" s="38"/>
      <c r="F296" s="38"/>
    </row>
    <row r="297" spans="2:6" x14ac:dyDescent="0.3">
      <c r="B297" s="32"/>
      <c r="C297" s="30"/>
      <c r="D297" s="30"/>
      <c r="E297" s="38"/>
      <c r="F297" s="38"/>
    </row>
    <row r="298" spans="2:6" x14ac:dyDescent="0.3">
      <c r="B298" s="32"/>
      <c r="C298" s="30"/>
      <c r="D298" s="30"/>
      <c r="E298" s="38"/>
      <c r="F298" s="38"/>
    </row>
    <row r="299" spans="2:6" x14ac:dyDescent="0.3">
      <c r="B299" s="32"/>
      <c r="C299" s="30"/>
      <c r="D299" s="30"/>
      <c r="E299" s="38"/>
      <c r="F299" s="38"/>
    </row>
    <row r="300" spans="2:6" x14ac:dyDescent="0.3">
      <c r="B300" s="32"/>
      <c r="C300" s="30"/>
      <c r="D300" s="30"/>
      <c r="E300" s="38"/>
      <c r="F300" s="38"/>
    </row>
    <row r="301" spans="2:6" x14ac:dyDescent="0.3">
      <c r="B301" s="32"/>
      <c r="C301" s="30"/>
      <c r="D301" s="30"/>
      <c r="E301" s="38"/>
      <c r="F301" s="38"/>
    </row>
    <row r="302" spans="2:6" x14ac:dyDescent="0.3">
      <c r="B302" s="32"/>
      <c r="C302" s="30"/>
      <c r="D302" s="30"/>
      <c r="E302" s="38"/>
      <c r="F302" s="38"/>
    </row>
    <row r="303" spans="2:6" x14ac:dyDescent="0.3">
      <c r="B303" s="32"/>
      <c r="C303" s="30"/>
      <c r="D303" s="30"/>
      <c r="E303" s="38"/>
      <c r="F303" s="38"/>
    </row>
    <row r="304" spans="2:6" x14ac:dyDescent="0.3">
      <c r="B304" s="32"/>
      <c r="C304" s="30"/>
      <c r="D304" s="30"/>
      <c r="E304" s="38"/>
      <c r="F304" s="38"/>
    </row>
    <row r="305" spans="2:6" x14ac:dyDescent="0.3">
      <c r="B305" s="32"/>
      <c r="C305" s="30"/>
      <c r="D305" s="30"/>
      <c r="E305" s="38"/>
      <c r="F305" s="38"/>
    </row>
    <row r="306" spans="2:6" x14ac:dyDescent="0.3">
      <c r="B306" s="32"/>
      <c r="C306" s="30"/>
      <c r="D306" s="30"/>
      <c r="E306" s="38"/>
      <c r="F306" s="38"/>
    </row>
    <row r="307" spans="2:6" x14ac:dyDescent="0.3">
      <c r="B307" s="32"/>
      <c r="C307" s="30"/>
      <c r="D307" s="30"/>
      <c r="E307" s="38"/>
      <c r="F307" s="38"/>
    </row>
    <row r="308" spans="2:6" x14ac:dyDescent="0.3">
      <c r="B308" s="32"/>
      <c r="C308" s="30"/>
      <c r="D308" s="30"/>
      <c r="E308" s="38"/>
      <c r="F308" s="38"/>
    </row>
    <row r="309" spans="2:6" x14ac:dyDescent="0.3">
      <c r="B309" s="32"/>
      <c r="C309" s="30"/>
      <c r="D309" s="30"/>
      <c r="E309" s="38"/>
      <c r="F309" s="38"/>
    </row>
    <row r="310" spans="2:6" x14ac:dyDescent="0.3">
      <c r="B310" s="32"/>
      <c r="C310" s="30"/>
      <c r="D310" s="30"/>
      <c r="E310" s="38"/>
      <c r="F310" s="38"/>
    </row>
    <row r="311" spans="2:6" x14ac:dyDescent="0.3">
      <c r="B311" s="32"/>
      <c r="C311" s="30"/>
      <c r="D311" s="30"/>
      <c r="E311" s="38"/>
      <c r="F311" s="38"/>
    </row>
    <row r="312" spans="2:6" x14ac:dyDescent="0.3">
      <c r="B312" s="32"/>
      <c r="C312" s="30"/>
      <c r="D312" s="30"/>
      <c r="E312" s="38"/>
      <c r="F312" s="38"/>
    </row>
    <row r="313" spans="2:6" x14ac:dyDescent="0.3">
      <c r="B313" s="32"/>
      <c r="C313" s="30"/>
      <c r="D313" s="30"/>
      <c r="E313" s="38"/>
      <c r="F313" s="38"/>
    </row>
    <row r="314" spans="2:6" x14ac:dyDescent="0.3">
      <c r="B314" s="32"/>
      <c r="C314" s="30"/>
      <c r="D314" s="30"/>
      <c r="E314" s="38"/>
      <c r="F314" s="38"/>
    </row>
    <row r="315" spans="2:6" x14ac:dyDescent="0.3">
      <c r="B315" s="32"/>
      <c r="C315" s="30"/>
      <c r="D315" s="30"/>
      <c r="E315" s="38"/>
      <c r="F315" s="38"/>
    </row>
    <row r="316" spans="2:6" x14ac:dyDescent="0.3">
      <c r="B316" s="32"/>
      <c r="C316" s="30"/>
      <c r="D316" s="30"/>
      <c r="E316" s="38"/>
      <c r="F316" s="38"/>
    </row>
    <row r="317" spans="2:6" x14ac:dyDescent="0.3">
      <c r="B317" s="32"/>
      <c r="C317" s="30"/>
      <c r="D317" s="30"/>
      <c r="E317" s="38"/>
      <c r="F317" s="38"/>
    </row>
    <row r="318" spans="2:6" x14ac:dyDescent="0.3">
      <c r="B318" s="32"/>
      <c r="C318" s="30"/>
      <c r="D318" s="30"/>
      <c r="E318" s="38"/>
      <c r="F318" s="38"/>
    </row>
    <row r="319" spans="2:6" x14ac:dyDescent="0.3">
      <c r="B319" s="32"/>
      <c r="C319" s="30"/>
      <c r="D319" s="30"/>
      <c r="E319" s="38"/>
      <c r="F319" s="38"/>
    </row>
    <row r="320" spans="2:6" x14ac:dyDescent="0.3">
      <c r="B320" s="32"/>
      <c r="C320" s="30"/>
      <c r="D320" s="30"/>
      <c r="E320" s="38"/>
      <c r="F320" s="38"/>
    </row>
    <row r="321" spans="2:6" x14ac:dyDescent="0.3">
      <c r="B321" s="32"/>
      <c r="C321" s="30"/>
      <c r="D321" s="30"/>
      <c r="E321" s="38"/>
      <c r="F321" s="38"/>
    </row>
    <row r="322" spans="2:6" x14ac:dyDescent="0.3">
      <c r="B322" s="32"/>
      <c r="C322" s="30"/>
      <c r="D322" s="30"/>
      <c r="E322" s="38"/>
      <c r="F322" s="38"/>
    </row>
    <row r="323" spans="2:6" x14ac:dyDescent="0.3">
      <c r="B323" s="32"/>
      <c r="C323" s="30"/>
      <c r="D323" s="30"/>
      <c r="E323" s="38"/>
      <c r="F323" s="38"/>
    </row>
    <row r="324" spans="2:6" x14ac:dyDescent="0.3">
      <c r="B324" s="32"/>
      <c r="C324" s="30"/>
      <c r="D324" s="30"/>
      <c r="E324" s="38"/>
      <c r="F324" s="38"/>
    </row>
    <row r="325" spans="2:6" x14ac:dyDescent="0.3">
      <c r="B325" s="32"/>
      <c r="C325" s="30"/>
      <c r="D325" s="30"/>
      <c r="E325" s="38"/>
      <c r="F325" s="38"/>
    </row>
    <row r="326" spans="2:6" x14ac:dyDescent="0.3">
      <c r="B326" s="32"/>
      <c r="C326" s="30"/>
      <c r="D326" s="30"/>
      <c r="E326" s="38"/>
      <c r="F326" s="38"/>
    </row>
    <row r="327" spans="2:6" x14ac:dyDescent="0.3">
      <c r="B327" s="32"/>
      <c r="C327" s="30"/>
      <c r="D327" s="30"/>
      <c r="E327" s="38"/>
      <c r="F327" s="38"/>
    </row>
    <row r="328" spans="2:6" x14ac:dyDescent="0.3">
      <c r="B328" s="32"/>
      <c r="C328" s="30"/>
      <c r="D328" s="30"/>
      <c r="E328" s="38"/>
      <c r="F328" s="38"/>
    </row>
    <row r="329" spans="2:6" x14ac:dyDescent="0.3">
      <c r="B329" s="32"/>
      <c r="C329" s="30"/>
      <c r="D329" s="30"/>
      <c r="E329" s="38"/>
      <c r="F329" s="38"/>
    </row>
    <row r="330" spans="2:6" x14ac:dyDescent="0.3">
      <c r="B330" s="32"/>
      <c r="C330" s="30"/>
      <c r="D330" s="30"/>
      <c r="E330" s="38"/>
      <c r="F330" s="38"/>
    </row>
    <row r="331" spans="2:6" x14ac:dyDescent="0.3">
      <c r="B331" s="32"/>
      <c r="C331" s="30"/>
      <c r="D331" s="30"/>
      <c r="E331" s="38"/>
      <c r="F331" s="38"/>
    </row>
    <row r="332" spans="2:6" x14ac:dyDescent="0.3">
      <c r="B332" s="32"/>
      <c r="C332" s="30"/>
      <c r="D332" s="30"/>
      <c r="E332" s="38"/>
      <c r="F332" s="38"/>
    </row>
    <row r="333" spans="2:6" x14ac:dyDescent="0.3">
      <c r="B333" s="32"/>
      <c r="C333" s="30"/>
      <c r="D333" s="30"/>
      <c r="E333" s="38"/>
      <c r="F333" s="38"/>
    </row>
    <row r="334" spans="2:6" x14ac:dyDescent="0.3">
      <c r="B334" s="32"/>
      <c r="C334" s="30"/>
      <c r="D334" s="30"/>
      <c r="E334" s="38"/>
      <c r="F334" s="38"/>
    </row>
    <row r="335" spans="2:6" x14ac:dyDescent="0.3">
      <c r="B335" s="32"/>
      <c r="C335" s="30"/>
      <c r="D335" s="30"/>
      <c r="E335" s="38"/>
      <c r="F335" s="38"/>
    </row>
    <row r="336" spans="2:6" x14ac:dyDescent="0.3">
      <c r="B336" s="32"/>
      <c r="C336" s="30"/>
      <c r="D336" s="30"/>
      <c r="E336" s="38"/>
      <c r="F336" s="38"/>
    </row>
    <row r="337" spans="2:6" x14ac:dyDescent="0.3">
      <c r="B337" s="32"/>
      <c r="C337" s="30"/>
      <c r="D337" s="30"/>
      <c r="E337" s="38"/>
      <c r="F337" s="38"/>
    </row>
    <row r="338" spans="2:6" x14ac:dyDescent="0.3">
      <c r="B338" s="32"/>
      <c r="C338" s="30"/>
      <c r="D338" s="30"/>
      <c r="E338" s="38"/>
      <c r="F338" s="38"/>
    </row>
    <row r="339" spans="2:6" x14ac:dyDescent="0.3">
      <c r="B339" s="32"/>
      <c r="C339" s="30"/>
      <c r="D339" s="30"/>
      <c r="E339" s="38"/>
      <c r="F339" s="38"/>
    </row>
    <row r="340" spans="2:6" x14ac:dyDescent="0.3">
      <c r="B340" s="32"/>
      <c r="C340" s="30"/>
      <c r="D340" s="30"/>
      <c r="E340" s="38"/>
      <c r="F340" s="38"/>
    </row>
    <row r="341" spans="2:6" x14ac:dyDescent="0.3">
      <c r="B341" s="32"/>
      <c r="C341" s="30"/>
      <c r="D341" s="30"/>
      <c r="E341" s="38"/>
      <c r="F341" s="38"/>
    </row>
    <row r="342" spans="2:6" x14ac:dyDescent="0.3">
      <c r="B342" s="32"/>
      <c r="C342" s="30"/>
      <c r="D342" s="30"/>
      <c r="E342" s="38"/>
      <c r="F342" s="38"/>
    </row>
    <row r="343" spans="2:6" x14ac:dyDescent="0.3">
      <c r="B343" s="32"/>
      <c r="C343" s="30"/>
      <c r="D343" s="30"/>
      <c r="E343" s="38"/>
      <c r="F343" s="38"/>
    </row>
    <row r="344" spans="2:6" x14ac:dyDescent="0.3">
      <c r="B344" s="32"/>
      <c r="C344" s="30"/>
      <c r="D344" s="30"/>
      <c r="E344" s="38"/>
      <c r="F344" s="38"/>
    </row>
    <row r="345" spans="2:6" x14ac:dyDescent="0.3">
      <c r="B345" s="32"/>
      <c r="C345" s="30"/>
      <c r="D345" s="30"/>
      <c r="E345" s="38"/>
      <c r="F345" s="38"/>
    </row>
    <row r="346" spans="2:6" x14ac:dyDescent="0.3">
      <c r="B346" s="32"/>
      <c r="C346" s="30"/>
      <c r="D346" s="30"/>
      <c r="E346" s="38"/>
      <c r="F346" s="38"/>
    </row>
    <row r="347" spans="2:6" x14ac:dyDescent="0.3">
      <c r="B347" s="32"/>
      <c r="C347" s="30"/>
      <c r="D347" s="30"/>
      <c r="E347" s="38"/>
      <c r="F347" s="38"/>
    </row>
    <row r="348" spans="2:6" x14ac:dyDescent="0.3">
      <c r="B348" s="32"/>
      <c r="C348" s="30"/>
      <c r="D348" s="30"/>
      <c r="E348" s="38"/>
      <c r="F348" s="38"/>
    </row>
    <row r="349" spans="2:6" x14ac:dyDescent="0.3">
      <c r="B349" s="32"/>
      <c r="C349" s="30"/>
      <c r="D349" s="30"/>
      <c r="E349" s="38"/>
      <c r="F349" s="38"/>
    </row>
    <row r="350" spans="2:6" x14ac:dyDescent="0.3">
      <c r="B350" s="32"/>
      <c r="C350" s="30"/>
      <c r="D350" s="30"/>
      <c r="E350" s="38"/>
      <c r="F350" s="38"/>
    </row>
    <row r="351" spans="2:6" x14ac:dyDescent="0.3">
      <c r="B351" s="32"/>
      <c r="C351" s="30"/>
      <c r="D351" s="30"/>
      <c r="E351" s="38"/>
      <c r="F351" s="38"/>
    </row>
    <row r="352" spans="2:6" x14ac:dyDescent="0.3">
      <c r="B352" s="32"/>
      <c r="C352" s="30"/>
      <c r="D352" s="30"/>
      <c r="E352" s="38"/>
      <c r="F352" s="38"/>
    </row>
    <row r="353" spans="2:6" x14ac:dyDescent="0.3">
      <c r="B353" s="32"/>
      <c r="C353" s="30"/>
      <c r="D353" s="30"/>
      <c r="E353" s="38"/>
      <c r="F353" s="38"/>
    </row>
    <row r="354" spans="2:6" x14ac:dyDescent="0.3">
      <c r="B354" s="32"/>
      <c r="C354" s="30"/>
      <c r="D354" s="30"/>
      <c r="E354" s="38"/>
      <c r="F354" s="38"/>
    </row>
    <row r="355" spans="2:6" x14ac:dyDescent="0.3">
      <c r="B355" s="32"/>
      <c r="C355" s="30"/>
      <c r="D355" s="30"/>
      <c r="E355" s="38"/>
      <c r="F355" s="38"/>
    </row>
    <row r="356" spans="2:6" x14ac:dyDescent="0.3">
      <c r="B356" s="32"/>
      <c r="C356" s="30"/>
      <c r="D356" s="30"/>
      <c r="E356" s="38"/>
      <c r="F356" s="38"/>
    </row>
    <row r="357" spans="2:6" x14ac:dyDescent="0.3">
      <c r="B357" s="32"/>
      <c r="C357" s="30"/>
      <c r="D357" s="30"/>
      <c r="E357" s="38"/>
      <c r="F357" s="38"/>
    </row>
    <row r="358" spans="2:6" x14ac:dyDescent="0.3">
      <c r="B358" s="32"/>
      <c r="C358" s="30"/>
      <c r="D358" s="30"/>
      <c r="E358" s="38"/>
      <c r="F358" s="38"/>
    </row>
    <row r="359" spans="2:6" x14ac:dyDescent="0.3">
      <c r="B359" s="32"/>
      <c r="C359" s="30"/>
      <c r="D359" s="30"/>
      <c r="E359" s="38"/>
      <c r="F359" s="38"/>
    </row>
    <row r="360" spans="2:6" x14ac:dyDescent="0.3">
      <c r="B360" s="32"/>
      <c r="C360" s="30"/>
      <c r="D360" s="30"/>
      <c r="E360" s="38"/>
      <c r="F360" s="38"/>
    </row>
    <row r="361" spans="2:6" x14ac:dyDescent="0.3">
      <c r="B361" s="32"/>
      <c r="C361" s="30"/>
      <c r="D361" s="30"/>
      <c r="E361" s="38"/>
      <c r="F361" s="38"/>
    </row>
    <row r="362" spans="2:6" x14ac:dyDescent="0.3">
      <c r="B362" s="32"/>
      <c r="C362" s="30"/>
      <c r="D362" s="30"/>
      <c r="E362" s="38"/>
      <c r="F362" s="38"/>
    </row>
    <row r="363" spans="2:6" x14ac:dyDescent="0.3">
      <c r="B363" s="32"/>
      <c r="C363" s="30"/>
      <c r="D363" s="30"/>
      <c r="E363" s="38"/>
      <c r="F363" s="38"/>
    </row>
    <row r="364" spans="2:6" x14ac:dyDescent="0.3">
      <c r="B364" s="32"/>
      <c r="C364" s="30"/>
      <c r="D364" s="30"/>
      <c r="E364" s="38"/>
      <c r="F364" s="38"/>
    </row>
    <row r="365" spans="2:6" x14ac:dyDescent="0.3">
      <c r="B365" s="32"/>
      <c r="C365" s="30"/>
      <c r="D365" s="30"/>
      <c r="E365" s="38"/>
      <c r="F365" s="38"/>
    </row>
    <row r="366" spans="2:6" x14ac:dyDescent="0.3">
      <c r="B366" s="32"/>
      <c r="C366" s="30"/>
      <c r="D366" s="30"/>
      <c r="E366" s="38"/>
      <c r="F366" s="38"/>
    </row>
    <row r="367" spans="2:6" x14ac:dyDescent="0.3">
      <c r="B367" s="32"/>
      <c r="C367" s="30"/>
      <c r="D367" s="30"/>
      <c r="E367" s="38"/>
      <c r="F367" s="38"/>
    </row>
    <row r="368" spans="2:6" x14ac:dyDescent="0.3">
      <c r="B368" s="32"/>
      <c r="C368" s="30"/>
      <c r="D368" s="30"/>
      <c r="E368" s="38"/>
      <c r="F368" s="38"/>
    </row>
    <row r="369" spans="2:6" x14ac:dyDescent="0.3">
      <c r="B369" s="32"/>
      <c r="C369" s="30"/>
      <c r="D369" s="30"/>
      <c r="E369" s="38"/>
      <c r="F369" s="38"/>
    </row>
    <row r="370" spans="2:6" x14ac:dyDescent="0.3">
      <c r="B370" s="32"/>
      <c r="C370" s="30"/>
      <c r="D370" s="30"/>
      <c r="E370" s="38"/>
      <c r="F370" s="38"/>
    </row>
    <row r="371" spans="2:6" x14ac:dyDescent="0.3">
      <c r="B371" s="32"/>
      <c r="C371" s="30"/>
      <c r="D371" s="30"/>
      <c r="E371" s="38"/>
      <c r="F371" s="38"/>
    </row>
    <row r="372" spans="2:6" x14ac:dyDescent="0.3">
      <c r="B372" s="32"/>
      <c r="C372" s="30"/>
      <c r="D372" s="30"/>
      <c r="E372" s="38"/>
      <c r="F372" s="38"/>
    </row>
    <row r="373" spans="2:6" x14ac:dyDescent="0.3">
      <c r="B373" s="32"/>
      <c r="C373" s="30"/>
      <c r="D373" s="30"/>
      <c r="E373" s="38"/>
      <c r="F373" s="38"/>
    </row>
    <row r="374" spans="2:6" x14ac:dyDescent="0.3">
      <c r="B374" s="32"/>
      <c r="C374" s="30"/>
      <c r="D374" s="30"/>
      <c r="E374" s="38"/>
      <c r="F374" s="38"/>
    </row>
    <row r="375" spans="2:6" x14ac:dyDescent="0.3">
      <c r="B375" s="32"/>
      <c r="C375" s="30"/>
      <c r="D375" s="30"/>
      <c r="E375" s="38"/>
      <c r="F375" s="38"/>
    </row>
    <row r="376" spans="2:6" x14ac:dyDescent="0.3">
      <c r="B376" s="32"/>
      <c r="C376" s="30"/>
      <c r="D376" s="30"/>
      <c r="E376" s="38"/>
      <c r="F376" s="38"/>
    </row>
    <row r="377" spans="2:6" x14ac:dyDescent="0.3">
      <c r="B377" s="32"/>
      <c r="C377" s="30"/>
      <c r="D377" s="30"/>
      <c r="E377" s="38"/>
      <c r="F377" s="38"/>
    </row>
    <row r="378" spans="2:6" x14ac:dyDescent="0.3">
      <c r="B378" s="32"/>
      <c r="C378" s="30"/>
      <c r="D378" s="30"/>
      <c r="E378" s="38"/>
      <c r="F378" s="38"/>
    </row>
    <row r="379" spans="2:6" x14ac:dyDescent="0.3">
      <c r="B379" s="32"/>
      <c r="C379" s="30"/>
      <c r="D379" s="30"/>
      <c r="E379" s="38"/>
      <c r="F379" s="38"/>
    </row>
    <row r="380" spans="2:6" x14ac:dyDescent="0.3">
      <c r="B380" s="32"/>
      <c r="C380" s="30"/>
      <c r="D380" s="30"/>
      <c r="E380" s="38"/>
      <c r="F380" s="38"/>
    </row>
    <row r="381" spans="2:6" x14ac:dyDescent="0.3">
      <c r="B381" s="32"/>
      <c r="C381" s="30"/>
      <c r="D381" s="30"/>
      <c r="E381" s="38"/>
      <c r="F381" s="38"/>
    </row>
    <row r="382" spans="2:6" x14ac:dyDescent="0.3">
      <c r="B382" s="32"/>
      <c r="C382" s="30"/>
      <c r="D382" s="30"/>
      <c r="E382" s="38"/>
      <c r="F382" s="38"/>
    </row>
    <row r="383" spans="2:6" x14ac:dyDescent="0.3">
      <c r="B383" s="32"/>
      <c r="C383" s="30"/>
      <c r="D383" s="30"/>
      <c r="E383" s="38"/>
      <c r="F383" s="38"/>
    </row>
    <row r="384" spans="2:6" x14ac:dyDescent="0.3">
      <c r="B384" s="32"/>
      <c r="C384" s="30"/>
      <c r="D384" s="30"/>
      <c r="E384" s="38"/>
      <c r="F384" s="38"/>
    </row>
    <row r="385" spans="2:6" x14ac:dyDescent="0.3">
      <c r="B385" s="32"/>
      <c r="C385" s="30"/>
      <c r="D385" s="30"/>
      <c r="E385" s="38"/>
      <c r="F385" s="38"/>
    </row>
    <row r="386" spans="2:6" x14ac:dyDescent="0.3">
      <c r="B386" s="32"/>
      <c r="C386" s="30"/>
      <c r="D386" s="30"/>
      <c r="E386" s="38"/>
      <c r="F386" s="38"/>
    </row>
    <row r="387" spans="2:6" x14ac:dyDescent="0.3">
      <c r="B387" s="32"/>
      <c r="C387" s="30"/>
      <c r="D387" s="30"/>
      <c r="E387" s="38"/>
      <c r="F387" s="38"/>
    </row>
    <row r="388" spans="2:6" x14ac:dyDescent="0.3">
      <c r="B388" s="32"/>
      <c r="C388" s="30"/>
      <c r="D388" s="30"/>
      <c r="E388" s="38"/>
      <c r="F388" s="38"/>
    </row>
    <row r="389" spans="2:6" x14ac:dyDescent="0.3">
      <c r="B389" s="32"/>
      <c r="C389" s="30"/>
      <c r="D389" s="30"/>
      <c r="E389" s="38"/>
      <c r="F389" s="38"/>
    </row>
    <row r="390" spans="2:6" x14ac:dyDescent="0.3">
      <c r="B390" s="32"/>
      <c r="C390" s="30"/>
      <c r="D390" s="30"/>
      <c r="E390" s="38"/>
      <c r="F390" s="38"/>
    </row>
    <row r="391" spans="2:6" x14ac:dyDescent="0.3">
      <c r="B391" s="32"/>
      <c r="C391" s="30"/>
      <c r="D391" s="30"/>
      <c r="E391" s="38"/>
      <c r="F391" s="38"/>
    </row>
    <row r="392" spans="2:6" x14ac:dyDescent="0.3">
      <c r="B392" s="32"/>
      <c r="C392" s="30"/>
      <c r="D392" s="30"/>
      <c r="E392" s="38"/>
      <c r="F392" s="38"/>
    </row>
    <row r="393" spans="2:6" x14ac:dyDescent="0.3">
      <c r="B393" s="32"/>
      <c r="C393" s="30"/>
      <c r="D393" s="30"/>
      <c r="E393" s="38"/>
      <c r="F393" s="38"/>
    </row>
    <row r="394" spans="2:6" x14ac:dyDescent="0.3">
      <c r="B394" s="32"/>
      <c r="C394" s="30"/>
      <c r="D394" s="30"/>
      <c r="E394" s="38"/>
      <c r="F394" s="38"/>
    </row>
    <row r="395" spans="2:6" x14ac:dyDescent="0.3">
      <c r="B395" s="32"/>
      <c r="C395" s="30"/>
      <c r="D395" s="30"/>
      <c r="E395" s="38"/>
      <c r="F395" s="38"/>
    </row>
    <row r="396" spans="2:6" x14ac:dyDescent="0.3">
      <c r="B396" s="32"/>
      <c r="C396" s="30"/>
      <c r="D396" s="30"/>
      <c r="E396" s="38"/>
      <c r="F396" s="38"/>
    </row>
    <row r="397" spans="2:6" x14ac:dyDescent="0.3">
      <c r="B397" s="32"/>
      <c r="C397" s="30"/>
      <c r="D397" s="30"/>
      <c r="E397" s="38"/>
      <c r="F397" s="38"/>
    </row>
    <row r="398" spans="2:6" x14ac:dyDescent="0.3">
      <c r="B398" s="32"/>
      <c r="C398" s="30"/>
      <c r="D398" s="30"/>
      <c r="E398" s="38"/>
      <c r="F398" s="38"/>
    </row>
    <row r="399" spans="2:6" x14ac:dyDescent="0.3">
      <c r="B399" s="32"/>
      <c r="C399" s="30"/>
      <c r="D399" s="30"/>
      <c r="E399" s="38"/>
      <c r="F399" s="38"/>
    </row>
    <row r="400" spans="2:6" x14ac:dyDescent="0.3">
      <c r="B400" s="32"/>
      <c r="C400" s="30"/>
      <c r="D400" s="30"/>
      <c r="E400" s="38"/>
      <c r="F400" s="38"/>
    </row>
    <row r="401" spans="2:6" x14ac:dyDescent="0.3">
      <c r="B401" s="32"/>
      <c r="C401" s="30"/>
      <c r="D401" s="30"/>
      <c r="E401" s="38"/>
      <c r="F401" s="38"/>
    </row>
    <row r="402" spans="2:6" x14ac:dyDescent="0.3">
      <c r="B402" s="32"/>
      <c r="C402" s="30"/>
      <c r="D402" s="30"/>
      <c r="E402" s="38"/>
      <c r="F402" s="38"/>
    </row>
    <row r="403" spans="2:6" x14ac:dyDescent="0.3">
      <c r="B403" s="32"/>
      <c r="C403" s="30"/>
      <c r="D403" s="30"/>
      <c r="E403" s="38"/>
      <c r="F403" s="38"/>
    </row>
    <row r="404" spans="2:6" x14ac:dyDescent="0.3">
      <c r="B404" s="32"/>
      <c r="C404" s="30"/>
      <c r="D404" s="30"/>
      <c r="E404" s="38"/>
      <c r="F404" s="38"/>
    </row>
    <row r="405" spans="2:6" x14ac:dyDescent="0.3">
      <c r="B405" s="32"/>
      <c r="C405" s="30"/>
      <c r="D405" s="30"/>
      <c r="E405" s="38"/>
      <c r="F405" s="38"/>
    </row>
    <row r="406" spans="2:6" x14ac:dyDescent="0.3">
      <c r="B406" s="32"/>
      <c r="C406" s="30"/>
      <c r="D406" s="30"/>
      <c r="E406" s="38"/>
      <c r="F406" s="38"/>
    </row>
    <row r="407" spans="2:6" x14ac:dyDescent="0.3">
      <c r="B407" s="32"/>
      <c r="C407" s="30"/>
      <c r="D407" s="30"/>
      <c r="E407" s="38"/>
      <c r="F407" s="38"/>
    </row>
    <row r="408" spans="2:6" x14ac:dyDescent="0.3">
      <c r="B408" s="32"/>
      <c r="C408" s="30"/>
      <c r="D408" s="30"/>
      <c r="E408" s="38"/>
      <c r="F408" s="38"/>
    </row>
    <row r="409" spans="2:6" x14ac:dyDescent="0.3">
      <c r="B409" s="32"/>
      <c r="C409" s="30"/>
      <c r="D409" s="30"/>
      <c r="E409" s="38"/>
      <c r="F409" s="38"/>
    </row>
    <row r="410" spans="2:6" x14ac:dyDescent="0.3">
      <c r="B410" s="32"/>
      <c r="C410" s="30"/>
      <c r="D410" s="30"/>
      <c r="E410" s="38"/>
      <c r="F410" s="38"/>
    </row>
    <row r="411" spans="2:6" x14ac:dyDescent="0.3">
      <c r="B411" s="32"/>
      <c r="C411" s="30"/>
      <c r="D411" s="30"/>
      <c r="E411" s="38"/>
      <c r="F411" s="38"/>
    </row>
    <row r="412" spans="2:6" x14ac:dyDescent="0.3">
      <c r="B412" s="32"/>
      <c r="C412" s="30"/>
      <c r="D412" s="30"/>
      <c r="E412" s="38"/>
      <c r="F412" s="38"/>
    </row>
    <row r="413" spans="2:6" x14ac:dyDescent="0.3">
      <c r="B413" s="32"/>
      <c r="C413" s="30"/>
      <c r="D413" s="30"/>
      <c r="E413" s="38"/>
      <c r="F413" s="38"/>
    </row>
    <row r="414" spans="2:6" x14ac:dyDescent="0.3">
      <c r="B414" s="32"/>
      <c r="C414" s="30"/>
      <c r="D414" s="30"/>
      <c r="E414" s="38"/>
      <c r="F414" s="38"/>
    </row>
    <row r="415" spans="2:6" x14ac:dyDescent="0.3">
      <c r="B415" s="32"/>
      <c r="C415" s="30"/>
      <c r="D415" s="30"/>
      <c r="E415" s="38"/>
      <c r="F415" s="38"/>
    </row>
    <row r="416" spans="2:6" x14ac:dyDescent="0.3">
      <c r="B416" s="32"/>
      <c r="C416" s="30"/>
      <c r="D416" s="30"/>
      <c r="E416" s="38"/>
      <c r="F416" s="38"/>
    </row>
    <row r="417" spans="2:6" x14ac:dyDescent="0.3">
      <c r="B417" s="32"/>
      <c r="C417" s="30"/>
      <c r="D417" s="30"/>
      <c r="E417" s="38"/>
      <c r="F417" s="38"/>
    </row>
    <row r="418" spans="2:6" x14ac:dyDescent="0.3">
      <c r="B418" s="32"/>
      <c r="C418" s="30"/>
      <c r="D418" s="30"/>
      <c r="E418" s="38"/>
      <c r="F418" s="38"/>
    </row>
    <row r="419" spans="2:6" x14ac:dyDescent="0.3">
      <c r="B419" s="32"/>
      <c r="C419" s="30"/>
      <c r="D419" s="30"/>
      <c r="E419" s="38"/>
      <c r="F419" s="38"/>
    </row>
    <row r="420" spans="2:6" x14ac:dyDescent="0.3">
      <c r="B420" s="32"/>
      <c r="C420" s="30"/>
      <c r="D420" s="30"/>
      <c r="E420" s="38"/>
      <c r="F420" s="38"/>
    </row>
    <row r="421" spans="2:6" x14ac:dyDescent="0.3">
      <c r="B421" s="32"/>
      <c r="C421" s="30"/>
      <c r="D421" s="30"/>
      <c r="E421" s="38"/>
      <c r="F421" s="38"/>
    </row>
    <row r="422" spans="2:6" x14ac:dyDescent="0.3">
      <c r="B422" s="32"/>
      <c r="C422" s="30"/>
      <c r="D422" s="30"/>
      <c r="E422" s="38"/>
      <c r="F422" s="38"/>
    </row>
    <row r="423" spans="2:6" x14ac:dyDescent="0.3">
      <c r="B423" s="32"/>
      <c r="C423" s="30"/>
      <c r="D423" s="30"/>
      <c r="E423" s="38"/>
      <c r="F423" s="38"/>
    </row>
    <row r="424" spans="2:6" x14ac:dyDescent="0.3">
      <c r="B424" s="32"/>
      <c r="C424" s="30"/>
      <c r="D424" s="30"/>
      <c r="E424" s="38"/>
      <c r="F424" s="38"/>
    </row>
    <row r="425" spans="2:6" x14ac:dyDescent="0.3">
      <c r="B425" s="32"/>
      <c r="C425" s="30"/>
      <c r="D425" s="30"/>
      <c r="E425" s="38"/>
      <c r="F425" s="38"/>
    </row>
    <row r="426" spans="2:6" x14ac:dyDescent="0.3">
      <c r="B426" s="32"/>
      <c r="C426" s="30"/>
      <c r="D426" s="30"/>
      <c r="E426" s="38"/>
      <c r="F426" s="38"/>
    </row>
    <row r="427" spans="2:6" x14ac:dyDescent="0.3">
      <c r="B427" s="32"/>
      <c r="C427" s="30"/>
      <c r="D427" s="30"/>
      <c r="E427" s="38"/>
      <c r="F427" s="38"/>
    </row>
    <row r="428" spans="2:6" x14ac:dyDescent="0.3">
      <c r="B428" s="32"/>
      <c r="C428" s="30"/>
      <c r="D428" s="30"/>
      <c r="E428" s="38"/>
      <c r="F428" s="38"/>
    </row>
    <row r="429" spans="2:6" x14ac:dyDescent="0.3">
      <c r="B429" s="32"/>
      <c r="C429" s="30"/>
      <c r="D429" s="30"/>
      <c r="E429" s="38"/>
      <c r="F429" s="38"/>
    </row>
    <row r="430" spans="2:6" x14ac:dyDescent="0.3">
      <c r="B430" s="32"/>
      <c r="C430" s="30"/>
      <c r="D430" s="30"/>
      <c r="E430" s="38"/>
      <c r="F430" s="38"/>
    </row>
    <row r="431" spans="2:6" x14ac:dyDescent="0.3">
      <c r="B431" s="32"/>
      <c r="C431" s="30"/>
      <c r="D431" s="30"/>
      <c r="E431" s="38"/>
      <c r="F431" s="38"/>
    </row>
    <row r="432" spans="2:6" x14ac:dyDescent="0.3">
      <c r="B432" s="32"/>
      <c r="C432" s="30"/>
      <c r="D432" s="30"/>
      <c r="E432" s="38"/>
      <c r="F432" s="38"/>
    </row>
    <row r="433" spans="2:6" x14ac:dyDescent="0.3">
      <c r="B433" s="32"/>
      <c r="C433" s="30"/>
      <c r="D433" s="30"/>
      <c r="E433" s="38"/>
      <c r="F433" s="38"/>
    </row>
    <row r="434" spans="2:6" x14ac:dyDescent="0.3">
      <c r="B434" s="32"/>
      <c r="C434" s="30"/>
      <c r="D434" s="30"/>
      <c r="E434" s="38"/>
      <c r="F434" s="38"/>
    </row>
    <row r="435" spans="2:6" x14ac:dyDescent="0.3">
      <c r="B435" s="32"/>
      <c r="C435" s="30"/>
      <c r="D435" s="30"/>
      <c r="E435" s="38"/>
      <c r="F435" s="38"/>
    </row>
    <row r="436" spans="2:6" x14ac:dyDescent="0.3">
      <c r="B436" s="32"/>
      <c r="C436" s="30"/>
      <c r="D436" s="30"/>
      <c r="E436" s="38"/>
      <c r="F436" s="38"/>
    </row>
    <row r="437" spans="2:6" x14ac:dyDescent="0.3">
      <c r="B437" s="32"/>
      <c r="C437" s="30"/>
      <c r="D437" s="30"/>
      <c r="E437" s="38"/>
      <c r="F437" s="38"/>
    </row>
    <row r="438" spans="2:6" x14ac:dyDescent="0.3">
      <c r="B438" s="32"/>
      <c r="C438" s="30"/>
      <c r="D438" s="30"/>
      <c r="E438" s="38"/>
      <c r="F438" s="38"/>
    </row>
    <row r="439" spans="2:6" x14ac:dyDescent="0.3">
      <c r="B439" s="32"/>
      <c r="C439" s="30"/>
      <c r="D439" s="30"/>
      <c r="E439" s="38"/>
      <c r="F439" s="38"/>
    </row>
    <row r="440" spans="2:6" x14ac:dyDescent="0.3">
      <c r="B440" s="32"/>
      <c r="C440" s="30"/>
      <c r="D440" s="30"/>
      <c r="E440" s="38"/>
      <c r="F440" s="38"/>
    </row>
    <row r="441" spans="2:6" x14ac:dyDescent="0.3">
      <c r="B441" s="32"/>
      <c r="C441" s="30"/>
      <c r="D441" s="30"/>
      <c r="E441" s="38"/>
      <c r="F441" s="38"/>
    </row>
    <row r="442" spans="2:6" x14ac:dyDescent="0.3">
      <c r="B442" s="32"/>
      <c r="C442" s="30"/>
      <c r="D442" s="30"/>
      <c r="E442" s="38"/>
      <c r="F442" s="3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opLeftCell="A24" workbookViewId="0">
      <selection activeCell="D2" sqref="D2:D49"/>
    </sheetView>
  </sheetViews>
  <sheetFormatPr baseColWidth="10" defaultRowHeight="14.4" x14ac:dyDescent="0.3"/>
  <cols>
    <col min="1" max="1" width="8.88671875" style="100" customWidth="1"/>
    <col min="2" max="2" width="13.33203125" style="100" customWidth="1"/>
    <col min="3" max="3" width="15.6640625" style="100" customWidth="1"/>
    <col min="4" max="4" width="15.33203125" style="100" customWidth="1"/>
    <col min="6" max="6" width="13.33203125" style="100" customWidth="1"/>
    <col min="7" max="7" width="8.88671875" style="100" customWidth="1"/>
    <col min="8" max="8" width="15.6640625" style="100" customWidth="1"/>
    <col min="9" max="9" width="15.33203125" style="100" customWidth="1"/>
    <col min="11" max="11" width="13.33203125" style="100" customWidth="1"/>
    <col min="12" max="12" width="8.88671875" style="100" customWidth="1"/>
    <col min="13" max="13" width="15.6640625" style="100" customWidth="1"/>
    <col min="14" max="14" width="15.33203125" style="100" customWidth="1"/>
    <col min="15" max="15" width="11.5546875" style="100"/>
    <col min="16" max="16" width="15.6640625" style="100" customWidth="1"/>
    <col min="17" max="17" width="15.33203125" style="100" customWidth="1"/>
  </cols>
  <sheetData>
    <row r="1" spans="1:17" ht="15" thickBot="1" x14ac:dyDescent="0.35">
      <c r="A1" s="1" t="s">
        <v>60</v>
      </c>
      <c r="B1" s="1" t="s">
        <v>70</v>
      </c>
      <c r="C1" s="100" t="s">
        <v>176</v>
      </c>
      <c r="D1" s="100" t="s">
        <v>177</v>
      </c>
      <c r="F1" s="1" t="s">
        <v>70</v>
      </c>
      <c r="G1" s="1" t="s">
        <v>60</v>
      </c>
      <c r="H1" s="100" t="s">
        <v>176</v>
      </c>
      <c r="I1" s="100" t="s">
        <v>177</v>
      </c>
      <c r="K1" s="1" t="s">
        <v>70</v>
      </c>
      <c r="L1" s="1" t="s">
        <v>60</v>
      </c>
      <c r="M1" s="100" t="s">
        <v>176</v>
      </c>
      <c r="N1" s="100" t="s">
        <v>177</v>
      </c>
      <c r="P1" s="100" t="s">
        <v>176</v>
      </c>
      <c r="Q1" s="100" t="s">
        <v>177</v>
      </c>
    </row>
    <row r="2" spans="1:17" x14ac:dyDescent="0.3">
      <c r="A2" s="18">
        <v>1</v>
      </c>
      <c r="B2" s="67">
        <v>16286882007</v>
      </c>
      <c r="C2" s="101">
        <v>182007</v>
      </c>
      <c r="D2" s="102">
        <v>25871</v>
      </c>
      <c r="F2" s="67">
        <v>16286802116</v>
      </c>
      <c r="G2" s="18">
        <v>13</v>
      </c>
      <c r="H2" s="101">
        <v>202116</v>
      </c>
      <c r="I2" s="102">
        <v>25031</v>
      </c>
      <c r="K2" s="67">
        <v>16286802116</v>
      </c>
      <c r="N2" s="102">
        <v>25031</v>
      </c>
      <c r="P2" s="101">
        <v>213074</v>
      </c>
      <c r="Q2" s="102">
        <v>25276</v>
      </c>
    </row>
    <row r="3" spans="1:17" x14ac:dyDescent="0.3">
      <c r="A3" s="18">
        <v>2</v>
      </c>
      <c r="B3" s="67">
        <v>16286882103</v>
      </c>
      <c r="C3" s="101">
        <v>182103</v>
      </c>
      <c r="D3" s="102">
        <v>25367</v>
      </c>
      <c r="F3" s="67">
        <v>16286892472</v>
      </c>
      <c r="G3" s="18">
        <v>10</v>
      </c>
      <c r="H3" s="101">
        <v>192472</v>
      </c>
      <c r="I3" s="102">
        <v>25046</v>
      </c>
      <c r="K3" s="67">
        <v>16286892472</v>
      </c>
      <c r="L3" s="18">
        <v>10</v>
      </c>
      <c r="M3" s="101">
        <v>192472</v>
      </c>
      <c r="N3" s="102">
        <v>25046</v>
      </c>
      <c r="P3" s="101">
        <v>213097</v>
      </c>
      <c r="Q3" s="102">
        <v>25388</v>
      </c>
    </row>
    <row r="4" spans="1:17" x14ac:dyDescent="0.3">
      <c r="A4" s="18">
        <v>3</v>
      </c>
      <c r="B4" s="67">
        <v>16286882231</v>
      </c>
      <c r="C4" s="101">
        <v>182231</v>
      </c>
      <c r="D4" s="102">
        <v>25195</v>
      </c>
      <c r="F4" s="67">
        <v>16286823404</v>
      </c>
      <c r="G4" s="18">
        <v>45</v>
      </c>
      <c r="H4" s="101">
        <v>223404</v>
      </c>
      <c r="I4" s="102">
        <v>25060</v>
      </c>
      <c r="K4" s="67">
        <v>16286823404</v>
      </c>
      <c r="L4" s="18">
        <v>45</v>
      </c>
      <c r="M4" s="101">
        <v>223404</v>
      </c>
      <c r="N4" s="102">
        <v>25060</v>
      </c>
      <c r="P4" s="101">
        <v>213117</v>
      </c>
      <c r="Q4" s="102">
        <v>25656</v>
      </c>
    </row>
    <row r="5" spans="1:17" x14ac:dyDescent="0.3">
      <c r="A5" s="18">
        <v>4</v>
      </c>
      <c r="B5" s="67">
        <v>16286892010</v>
      </c>
      <c r="C5" s="101">
        <v>192010</v>
      </c>
      <c r="D5" s="102">
        <v>25283</v>
      </c>
      <c r="F5" s="67">
        <v>16286823215</v>
      </c>
      <c r="G5" s="18">
        <v>36</v>
      </c>
      <c r="H5" s="101">
        <v>223215</v>
      </c>
      <c r="I5" s="102">
        <v>25093</v>
      </c>
      <c r="K5" s="67">
        <v>16286823215</v>
      </c>
      <c r="L5" s="18">
        <v>36</v>
      </c>
      <c r="M5" s="101">
        <v>223215</v>
      </c>
      <c r="N5" s="102">
        <v>25093</v>
      </c>
      <c r="P5" s="101">
        <v>213129</v>
      </c>
      <c r="Q5" s="102">
        <v>25591</v>
      </c>
    </row>
    <row r="6" spans="1:17" x14ac:dyDescent="0.3">
      <c r="A6" s="18">
        <v>5</v>
      </c>
      <c r="B6" s="67">
        <v>16286892072</v>
      </c>
      <c r="C6" s="101">
        <v>192072</v>
      </c>
      <c r="D6" s="102">
        <v>25800</v>
      </c>
      <c r="F6" s="67">
        <v>16286802290</v>
      </c>
      <c r="G6" s="18">
        <v>17</v>
      </c>
      <c r="H6" s="101">
        <v>202290</v>
      </c>
      <c r="I6" s="102">
        <v>25094</v>
      </c>
      <c r="K6" s="67">
        <v>16286802290</v>
      </c>
      <c r="N6" s="102">
        <v>25094</v>
      </c>
      <c r="P6" s="101">
        <v>213192</v>
      </c>
      <c r="Q6" s="102">
        <v>25927</v>
      </c>
    </row>
    <row r="7" spans="1:17" x14ac:dyDescent="0.3">
      <c r="A7" s="18">
        <v>6</v>
      </c>
      <c r="B7" s="67">
        <v>16286892139</v>
      </c>
      <c r="C7" s="101">
        <v>192139</v>
      </c>
      <c r="D7" s="102">
        <v>25958</v>
      </c>
      <c r="F7" s="67">
        <v>16286823220</v>
      </c>
      <c r="G7" s="18">
        <v>37</v>
      </c>
      <c r="H7" s="101">
        <v>223220</v>
      </c>
      <c r="I7" s="102">
        <v>25167</v>
      </c>
      <c r="K7" s="67">
        <v>16286823220</v>
      </c>
      <c r="N7" s="102">
        <v>25167</v>
      </c>
      <c r="P7" s="101">
        <v>213254</v>
      </c>
      <c r="Q7" s="102">
        <v>25417</v>
      </c>
    </row>
    <row r="8" spans="1:17" x14ac:dyDescent="0.3">
      <c r="A8" s="18">
        <v>7</v>
      </c>
      <c r="B8" s="67">
        <v>16286892193</v>
      </c>
      <c r="C8" s="101">
        <v>192193</v>
      </c>
      <c r="D8" s="102">
        <v>25232</v>
      </c>
      <c r="F8" s="67">
        <v>16286882231</v>
      </c>
      <c r="G8" s="18">
        <v>3</v>
      </c>
      <c r="H8" s="101">
        <v>182231</v>
      </c>
      <c r="I8" s="102">
        <v>25195</v>
      </c>
      <c r="K8" s="67">
        <v>16286882231</v>
      </c>
      <c r="L8" s="18">
        <v>3</v>
      </c>
      <c r="M8" s="101">
        <v>182231</v>
      </c>
      <c r="N8" s="102">
        <v>25195</v>
      </c>
      <c r="P8" s="101">
        <v>213261</v>
      </c>
      <c r="Q8" s="102">
        <v>25845</v>
      </c>
    </row>
    <row r="9" spans="1:17" x14ac:dyDescent="0.3">
      <c r="A9" s="18">
        <v>8</v>
      </c>
      <c r="B9" s="67">
        <v>16286892249</v>
      </c>
      <c r="C9" s="101">
        <v>192249</v>
      </c>
      <c r="D9" s="102">
        <v>26012</v>
      </c>
      <c r="F9" s="67">
        <v>16286823280</v>
      </c>
      <c r="G9" s="18">
        <v>41</v>
      </c>
      <c r="H9" s="101">
        <v>223280</v>
      </c>
      <c r="I9" s="102">
        <v>25215</v>
      </c>
      <c r="K9" s="67">
        <v>16286823280</v>
      </c>
      <c r="L9" s="18">
        <v>41</v>
      </c>
      <c r="M9" s="101">
        <v>223280</v>
      </c>
      <c r="N9" s="102">
        <v>25215</v>
      </c>
      <c r="P9" s="101">
        <v>213282</v>
      </c>
      <c r="Q9" s="102">
        <v>25499</v>
      </c>
    </row>
    <row r="10" spans="1:17" x14ac:dyDescent="0.3">
      <c r="A10" s="18">
        <v>9</v>
      </c>
      <c r="B10" s="67">
        <v>16286892333</v>
      </c>
      <c r="C10" s="101">
        <v>192333</v>
      </c>
      <c r="D10" s="102">
        <v>25697</v>
      </c>
      <c r="F10" s="67">
        <v>16286823292</v>
      </c>
      <c r="G10" s="18">
        <v>42</v>
      </c>
      <c r="H10" s="101">
        <v>223292</v>
      </c>
      <c r="I10" s="102">
        <v>25230</v>
      </c>
      <c r="K10" s="67">
        <v>16286823292</v>
      </c>
      <c r="L10" s="18"/>
      <c r="M10" s="101"/>
      <c r="N10" s="102">
        <v>25230</v>
      </c>
      <c r="P10" s="101">
        <v>213327</v>
      </c>
      <c r="Q10" s="102">
        <v>25439</v>
      </c>
    </row>
    <row r="11" spans="1:17" x14ac:dyDescent="0.3">
      <c r="A11" s="18">
        <v>10</v>
      </c>
      <c r="B11" s="67">
        <v>16286892472</v>
      </c>
      <c r="C11" s="101">
        <v>192472</v>
      </c>
      <c r="D11" s="102">
        <v>25046</v>
      </c>
      <c r="F11" s="67">
        <v>16286892193</v>
      </c>
      <c r="G11" s="18">
        <v>7</v>
      </c>
      <c r="H11" s="101">
        <v>192193</v>
      </c>
      <c r="I11" s="102">
        <v>25232</v>
      </c>
      <c r="K11" s="67">
        <v>16286892193</v>
      </c>
      <c r="N11" s="102">
        <v>25232</v>
      </c>
      <c r="P11" s="101">
        <v>213348</v>
      </c>
      <c r="Q11" s="102">
        <v>25681</v>
      </c>
    </row>
    <row r="12" spans="1:17" x14ac:dyDescent="0.3">
      <c r="A12" s="18">
        <v>11</v>
      </c>
      <c r="B12" s="67">
        <v>16286802045</v>
      </c>
      <c r="C12" s="101">
        <v>202045</v>
      </c>
      <c r="D12" s="102">
        <v>25701</v>
      </c>
      <c r="F12" s="67">
        <v>16286813074</v>
      </c>
      <c r="G12" s="18">
        <v>20</v>
      </c>
      <c r="H12" s="101">
        <v>213074</v>
      </c>
      <c r="I12" s="102">
        <v>25276</v>
      </c>
      <c r="K12" s="67">
        <v>16286813074</v>
      </c>
      <c r="N12" s="102">
        <v>25276</v>
      </c>
      <c r="P12" s="101">
        <v>213385</v>
      </c>
      <c r="Q12" s="102">
        <v>25486</v>
      </c>
    </row>
    <row r="13" spans="1:17" x14ac:dyDescent="0.3">
      <c r="A13" s="18">
        <v>12</v>
      </c>
      <c r="B13" s="67">
        <v>16286802053</v>
      </c>
      <c r="C13" s="101">
        <v>202053</v>
      </c>
      <c r="D13" s="102">
        <v>25923</v>
      </c>
      <c r="F13" s="67">
        <v>16286892010</v>
      </c>
      <c r="G13" s="18">
        <v>4</v>
      </c>
      <c r="H13" s="101">
        <v>192010</v>
      </c>
      <c r="I13" s="102">
        <v>25283</v>
      </c>
      <c r="K13" s="67">
        <v>16286892010</v>
      </c>
      <c r="N13" s="102">
        <v>25283</v>
      </c>
      <c r="P13" s="101">
        <v>213442</v>
      </c>
      <c r="Q13" s="102">
        <v>25759</v>
      </c>
    </row>
    <row r="14" spans="1:17" x14ac:dyDescent="0.3">
      <c r="A14" s="18">
        <v>13</v>
      </c>
      <c r="B14" s="67">
        <v>16286802116</v>
      </c>
      <c r="C14" s="101">
        <v>202116</v>
      </c>
      <c r="D14" s="102">
        <v>25031</v>
      </c>
      <c r="F14" s="67">
        <v>16286823270</v>
      </c>
      <c r="G14" s="18">
        <v>40</v>
      </c>
      <c r="H14" s="101">
        <v>223270</v>
      </c>
      <c r="I14" s="102">
        <v>25294</v>
      </c>
      <c r="K14" s="67">
        <v>16286823270</v>
      </c>
      <c r="L14" s="18">
        <v>40</v>
      </c>
      <c r="M14" s="101">
        <v>223270</v>
      </c>
      <c r="N14" s="102">
        <v>25294</v>
      </c>
      <c r="P14" s="101">
        <v>223044</v>
      </c>
      <c r="Q14" s="102">
        <v>25916</v>
      </c>
    </row>
    <row r="15" spans="1:17" x14ac:dyDescent="0.3">
      <c r="A15" s="18">
        <v>14</v>
      </c>
      <c r="B15" s="67">
        <v>16286802176</v>
      </c>
      <c r="C15" s="101">
        <v>202176</v>
      </c>
      <c r="D15" s="102">
        <v>25336</v>
      </c>
      <c r="F15" s="67">
        <v>16286823419</v>
      </c>
      <c r="G15" s="18">
        <v>46</v>
      </c>
      <c r="H15" s="101">
        <v>223419</v>
      </c>
      <c r="I15" s="102">
        <v>25312</v>
      </c>
      <c r="K15" s="67">
        <v>16286823419</v>
      </c>
      <c r="N15" s="102">
        <v>25312</v>
      </c>
      <c r="P15" s="101">
        <v>223135</v>
      </c>
      <c r="Q15" s="102">
        <v>25948</v>
      </c>
    </row>
    <row r="16" spans="1:17" x14ac:dyDescent="0.3">
      <c r="A16" s="18">
        <v>15</v>
      </c>
      <c r="B16" s="67">
        <v>16286802196</v>
      </c>
      <c r="C16" s="101">
        <v>202196</v>
      </c>
      <c r="D16" s="102">
        <v>25519</v>
      </c>
      <c r="F16" s="67">
        <v>16286802176</v>
      </c>
      <c r="G16" s="18">
        <v>14</v>
      </c>
      <c r="H16" s="101">
        <v>202176</v>
      </c>
      <c r="I16" s="102">
        <v>25336</v>
      </c>
      <c r="K16" s="67">
        <v>16286802176</v>
      </c>
      <c r="L16" s="18">
        <v>14</v>
      </c>
      <c r="M16" s="101">
        <v>202176</v>
      </c>
      <c r="N16" s="102">
        <v>25336</v>
      </c>
      <c r="P16" s="101">
        <v>223148</v>
      </c>
      <c r="Q16" s="102">
        <v>25368</v>
      </c>
    </row>
    <row r="17" spans="1:17" x14ac:dyDescent="0.3">
      <c r="A17" s="18">
        <v>16</v>
      </c>
      <c r="B17" s="67">
        <v>16286802242</v>
      </c>
      <c r="C17" s="101">
        <v>202242</v>
      </c>
      <c r="D17" s="102">
        <v>25973</v>
      </c>
      <c r="F17" s="67">
        <v>16286882103</v>
      </c>
      <c r="G17" s="18">
        <v>2</v>
      </c>
      <c r="H17" s="101">
        <v>182103</v>
      </c>
      <c r="I17" s="102">
        <v>25367</v>
      </c>
      <c r="K17" s="67">
        <v>16286882103</v>
      </c>
      <c r="N17" s="102">
        <v>25367</v>
      </c>
      <c r="P17" s="101">
        <v>223161</v>
      </c>
      <c r="Q17" s="102">
        <v>25392</v>
      </c>
    </row>
    <row r="18" spans="1:17" x14ac:dyDescent="0.3">
      <c r="A18" s="18">
        <v>17</v>
      </c>
      <c r="B18" s="67">
        <v>16286802290</v>
      </c>
      <c r="C18" s="101">
        <v>202290</v>
      </c>
      <c r="D18" s="102">
        <v>25094</v>
      </c>
      <c r="F18" s="67">
        <v>16286823148</v>
      </c>
      <c r="G18" s="18">
        <v>34</v>
      </c>
      <c r="H18" s="101">
        <v>223148</v>
      </c>
      <c r="I18" s="102">
        <v>25368</v>
      </c>
      <c r="K18" s="67">
        <v>16286823148</v>
      </c>
      <c r="N18" s="102">
        <v>25368</v>
      </c>
      <c r="P18" s="101">
        <v>223215</v>
      </c>
      <c r="Q18" s="102">
        <v>25093</v>
      </c>
    </row>
    <row r="19" spans="1:17" x14ac:dyDescent="0.3">
      <c r="A19" s="18">
        <v>18</v>
      </c>
      <c r="B19" s="67">
        <v>16286802377</v>
      </c>
      <c r="C19" s="101">
        <v>202377</v>
      </c>
      <c r="D19" s="102">
        <v>25768</v>
      </c>
      <c r="F19" s="67">
        <v>16286823437</v>
      </c>
      <c r="G19" s="18">
        <v>47</v>
      </c>
      <c r="H19" s="101">
        <v>223437</v>
      </c>
      <c r="I19" s="102">
        <v>25376</v>
      </c>
      <c r="K19" s="67">
        <v>16286823437</v>
      </c>
      <c r="L19" s="18"/>
      <c r="M19" s="101"/>
      <c r="N19" s="102">
        <v>25376</v>
      </c>
      <c r="P19" s="101">
        <v>223220</v>
      </c>
      <c r="Q19" s="102">
        <v>25167</v>
      </c>
    </row>
    <row r="20" spans="1:17" x14ac:dyDescent="0.3">
      <c r="A20" s="18">
        <v>19</v>
      </c>
      <c r="B20" s="67">
        <v>16286802451</v>
      </c>
      <c r="C20" s="101">
        <v>202451</v>
      </c>
      <c r="D20" s="102">
        <v>25861</v>
      </c>
      <c r="F20" s="67">
        <v>16286813097</v>
      </c>
      <c r="G20" s="18">
        <v>21</v>
      </c>
      <c r="H20" s="101">
        <v>213097</v>
      </c>
      <c r="I20" s="102">
        <v>25388</v>
      </c>
      <c r="K20" s="67">
        <v>16286813097</v>
      </c>
      <c r="N20" s="102">
        <v>25388</v>
      </c>
      <c r="P20" s="101">
        <v>223223</v>
      </c>
      <c r="Q20" s="102">
        <v>25801</v>
      </c>
    </row>
    <row r="21" spans="1:17" x14ac:dyDescent="0.3">
      <c r="A21" s="18">
        <v>20</v>
      </c>
      <c r="B21" s="67">
        <v>16286813074</v>
      </c>
      <c r="C21" s="101">
        <v>213074</v>
      </c>
      <c r="D21" s="102">
        <v>25276</v>
      </c>
      <c r="F21" s="67">
        <v>16286823161</v>
      </c>
      <c r="G21" s="18">
        <v>35</v>
      </c>
      <c r="H21" s="101">
        <v>223161</v>
      </c>
      <c r="I21" s="102">
        <v>25392</v>
      </c>
      <c r="K21" s="67">
        <v>16286823161</v>
      </c>
      <c r="L21" s="18"/>
      <c r="M21" s="101"/>
      <c r="N21" s="102">
        <v>25392</v>
      </c>
      <c r="P21" s="101">
        <v>223258</v>
      </c>
      <c r="Q21" s="102">
        <v>25757</v>
      </c>
    </row>
    <row r="22" spans="1:17" x14ac:dyDescent="0.3">
      <c r="A22" s="18">
        <v>21</v>
      </c>
      <c r="B22" s="67">
        <v>16286813097</v>
      </c>
      <c r="C22" s="101">
        <v>213097</v>
      </c>
      <c r="D22" s="102">
        <v>25388</v>
      </c>
      <c r="F22" s="67">
        <v>16286813254</v>
      </c>
      <c r="G22" s="18">
        <v>25</v>
      </c>
      <c r="H22" s="101">
        <v>213254</v>
      </c>
      <c r="I22" s="102">
        <v>25417</v>
      </c>
      <c r="K22" s="67">
        <v>16286813254</v>
      </c>
      <c r="N22" s="102">
        <v>25417</v>
      </c>
      <c r="P22" s="101">
        <v>223270</v>
      </c>
      <c r="Q22" s="102">
        <v>25294</v>
      </c>
    </row>
    <row r="23" spans="1:17" x14ac:dyDescent="0.3">
      <c r="A23" s="18">
        <v>22</v>
      </c>
      <c r="B23" s="67">
        <v>16286813117</v>
      </c>
      <c r="C23" s="101">
        <v>213117</v>
      </c>
      <c r="D23" s="102">
        <v>25656</v>
      </c>
      <c r="F23" s="67">
        <v>16286813327</v>
      </c>
      <c r="G23" s="18">
        <v>28</v>
      </c>
      <c r="H23" s="101">
        <v>213327</v>
      </c>
      <c r="I23" s="102">
        <v>25439</v>
      </c>
      <c r="K23" s="67">
        <v>16286813327</v>
      </c>
      <c r="N23" s="102">
        <v>25439</v>
      </c>
      <c r="P23" s="101">
        <v>223280</v>
      </c>
      <c r="Q23" s="102">
        <v>25215</v>
      </c>
    </row>
    <row r="24" spans="1:17" x14ac:dyDescent="0.3">
      <c r="A24" s="18">
        <v>23</v>
      </c>
      <c r="B24" s="67">
        <v>16286813129</v>
      </c>
      <c r="C24" s="101">
        <v>213129</v>
      </c>
      <c r="D24" s="102">
        <v>25591</v>
      </c>
      <c r="F24" s="67">
        <v>16286823440</v>
      </c>
      <c r="G24" s="18">
        <v>48</v>
      </c>
      <c r="H24" s="101">
        <v>223440</v>
      </c>
      <c r="I24" s="102">
        <v>25462</v>
      </c>
      <c r="K24" s="67">
        <v>16286823440</v>
      </c>
      <c r="L24" s="18">
        <v>48</v>
      </c>
      <c r="M24" s="101">
        <v>223440</v>
      </c>
      <c r="N24" s="102">
        <v>25462</v>
      </c>
      <c r="P24" s="101">
        <v>223292</v>
      </c>
      <c r="Q24" s="102">
        <v>25230</v>
      </c>
    </row>
    <row r="25" spans="1:17" x14ac:dyDescent="0.3">
      <c r="A25" s="18">
        <v>24</v>
      </c>
      <c r="B25" s="67">
        <v>16286813192</v>
      </c>
      <c r="C25" s="101">
        <v>213192</v>
      </c>
      <c r="D25" s="102">
        <v>25927</v>
      </c>
      <c r="F25" s="67">
        <v>16286813385</v>
      </c>
      <c r="G25" s="18">
        <v>30</v>
      </c>
      <c r="H25" s="101">
        <v>213385</v>
      </c>
      <c r="I25" s="102">
        <v>25486</v>
      </c>
      <c r="K25" s="67">
        <v>16286813385</v>
      </c>
      <c r="N25" s="102">
        <v>25486</v>
      </c>
      <c r="P25" s="101">
        <v>223373</v>
      </c>
      <c r="Q25" s="102">
        <v>25741</v>
      </c>
    </row>
    <row r="26" spans="1:17" x14ac:dyDescent="0.3">
      <c r="A26" s="18">
        <v>25</v>
      </c>
      <c r="B26" s="67">
        <v>16286813254</v>
      </c>
      <c r="C26" s="101">
        <v>213254</v>
      </c>
      <c r="D26" s="102">
        <v>25417</v>
      </c>
      <c r="F26" s="67">
        <v>16286813282</v>
      </c>
      <c r="G26" s="18">
        <v>27</v>
      </c>
      <c r="H26" s="101">
        <v>213282</v>
      </c>
      <c r="I26" s="102">
        <v>25499</v>
      </c>
      <c r="K26" s="67">
        <v>16286813282</v>
      </c>
      <c r="L26" s="18">
        <v>27</v>
      </c>
      <c r="M26" s="101">
        <v>213282</v>
      </c>
      <c r="N26" s="102">
        <v>25499</v>
      </c>
      <c r="P26" s="101">
        <v>223401</v>
      </c>
      <c r="Q26" s="102">
        <v>25742</v>
      </c>
    </row>
    <row r="27" spans="1:17" x14ac:dyDescent="0.3">
      <c r="A27" s="18">
        <v>26</v>
      </c>
      <c r="B27" s="67">
        <v>16286813261</v>
      </c>
      <c r="C27" s="101">
        <v>213261</v>
      </c>
      <c r="D27" s="102">
        <v>25845</v>
      </c>
      <c r="F27" s="67">
        <v>16286802196</v>
      </c>
      <c r="G27" s="18">
        <v>15</v>
      </c>
      <c r="H27" s="101">
        <v>202196</v>
      </c>
      <c r="I27" s="102">
        <v>25519</v>
      </c>
      <c r="K27" s="67">
        <v>16286802196</v>
      </c>
      <c r="N27" s="102">
        <v>25519</v>
      </c>
      <c r="P27" s="101">
        <v>223404</v>
      </c>
      <c r="Q27" s="102">
        <v>25060</v>
      </c>
    </row>
    <row r="28" spans="1:17" x14ac:dyDescent="0.3">
      <c r="A28" s="18">
        <v>27</v>
      </c>
      <c r="B28" s="67">
        <v>16286813282</v>
      </c>
      <c r="C28" s="101">
        <v>213282</v>
      </c>
      <c r="D28" s="102">
        <v>25499</v>
      </c>
      <c r="F28" s="67">
        <v>16286813129</v>
      </c>
      <c r="G28" s="18">
        <v>23</v>
      </c>
      <c r="H28" s="101">
        <v>213129</v>
      </c>
      <c r="I28" s="102">
        <v>25591</v>
      </c>
      <c r="K28" s="67">
        <v>16286813129</v>
      </c>
      <c r="N28" s="102">
        <v>25591</v>
      </c>
      <c r="P28" s="101">
        <v>223419</v>
      </c>
      <c r="Q28" s="102">
        <v>25312</v>
      </c>
    </row>
    <row r="29" spans="1:17" x14ac:dyDescent="0.3">
      <c r="A29" s="18">
        <v>28</v>
      </c>
      <c r="B29" s="67">
        <v>16286813327</v>
      </c>
      <c r="C29" s="101">
        <v>213327</v>
      </c>
      <c r="D29" s="102">
        <v>25439</v>
      </c>
      <c r="F29" s="67">
        <v>16286813117</v>
      </c>
      <c r="G29" s="18">
        <v>22</v>
      </c>
      <c r="H29" s="101">
        <v>213117</v>
      </c>
      <c r="I29" s="102">
        <v>25656</v>
      </c>
      <c r="K29" s="67">
        <v>16286813117</v>
      </c>
      <c r="N29" s="102">
        <v>25656</v>
      </c>
      <c r="P29" s="101">
        <v>223437</v>
      </c>
      <c r="Q29" s="102">
        <v>25376</v>
      </c>
    </row>
    <row r="30" spans="1:17" x14ac:dyDescent="0.3">
      <c r="A30" s="18">
        <v>29</v>
      </c>
      <c r="B30" s="67">
        <v>16286813348</v>
      </c>
      <c r="C30" s="101">
        <v>213348</v>
      </c>
      <c r="D30" s="102">
        <v>25681</v>
      </c>
      <c r="F30" s="67">
        <v>16286813348</v>
      </c>
      <c r="G30" s="18">
        <v>29</v>
      </c>
      <c r="H30" s="101">
        <v>213348</v>
      </c>
      <c r="I30" s="102">
        <v>25681</v>
      </c>
      <c r="K30" s="67">
        <v>16286813348</v>
      </c>
      <c r="N30" s="102">
        <v>25681</v>
      </c>
      <c r="P30" s="101">
        <v>223440</v>
      </c>
      <c r="Q30" s="102">
        <v>25462</v>
      </c>
    </row>
    <row r="31" spans="1:17" x14ac:dyDescent="0.3">
      <c r="A31" s="18">
        <v>30</v>
      </c>
      <c r="B31" s="67">
        <v>16286813385</v>
      </c>
      <c r="C31" s="101">
        <v>213385</v>
      </c>
      <c r="D31" s="102">
        <v>25486</v>
      </c>
      <c r="F31" s="67">
        <v>16286892333</v>
      </c>
      <c r="G31" s="18">
        <v>9</v>
      </c>
      <c r="H31" s="101">
        <v>192333</v>
      </c>
      <c r="I31" s="102">
        <v>25697</v>
      </c>
      <c r="K31" s="67">
        <v>16286892333</v>
      </c>
      <c r="L31" s="18">
        <v>9</v>
      </c>
      <c r="M31" s="101">
        <v>192333</v>
      </c>
      <c r="N31" s="102">
        <v>25697</v>
      </c>
      <c r="P31" s="101">
        <v>182007</v>
      </c>
      <c r="Q31" s="102">
        <v>25871</v>
      </c>
    </row>
    <row r="32" spans="1:17" x14ac:dyDescent="0.3">
      <c r="A32" s="18">
        <v>31</v>
      </c>
      <c r="B32" s="67">
        <v>16286813442</v>
      </c>
      <c r="C32" s="101">
        <v>213442</v>
      </c>
      <c r="D32" s="102">
        <v>25759</v>
      </c>
      <c r="F32" s="67">
        <v>16286802045</v>
      </c>
      <c r="G32" s="18">
        <v>11</v>
      </c>
      <c r="H32" s="101">
        <v>202045</v>
      </c>
      <c r="I32" s="102">
        <v>25701</v>
      </c>
      <c r="K32" s="67">
        <v>16286802045</v>
      </c>
      <c r="L32" s="18"/>
      <c r="M32" s="101"/>
      <c r="N32" s="102">
        <v>25701</v>
      </c>
      <c r="P32" s="101">
        <v>182103</v>
      </c>
      <c r="Q32" s="102">
        <v>25367</v>
      </c>
    </row>
    <row r="33" spans="1:17" x14ac:dyDescent="0.3">
      <c r="A33" s="18">
        <v>32</v>
      </c>
      <c r="B33" s="67">
        <v>16286823044</v>
      </c>
      <c r="C33" s="101">
        <v>223044</v>
      </c>
      <c r="D33" s="102">
        <v>25916</v>
      </c>
      <c r="F33" s="67">
        <v>16286823373</v>
      </c>
      <c r="G33" s="18">
        <v>43</v>
      </c>
      <c r="H33" s="101">
        <v>223373</v>
      </c>
      <c r="I33" s="102">
        <v>25741</v>
      </c>
      <c r="K33" s="67">
        <v>16286823373</v>
      </c>
      <c r="L33" s="18"/>
      <c r="M33" s="101"/>
      <c r="N33" s="102">
        <v>25741</v>
      </c>
      <c r="P33" s="101">
        <v>182231</v>
      </c>
      <c r="Q33" s="102">
        <v>25195</v>
      </c>
    </row>
    <row r="34" spans="1:17" x14ac:dyDescent="0.3">
      <c r="A34" s="18">
        <v>33</v>
      </c>
      <c r="B34" s="67">
        <v>16286823135</v>
      </c>
      <c r="C34" s="101">
        <v>223135</v>
      </c>
      <c r="D34" s="102">
        <v>25948</v>
      </c>
      <c r="F34" s="67">
        <v>16286823401</v>
      </c>
      <c r="G34" s="18">
        <v>44</v>
      </c>
      <c r="H34" s="101">
        <v>223401</v>
      </c>
      <c r="I34" s="102">
        <v>25742</v>
      </c>
      <c r="K34" s="67">
        <v>16286823401</v>
      </c>
      <c r="L34" s="18">
        <v>44</v>
      </c>
      <c r="M34" s="101">
        <v>223401</v>
      </c>
      <c r="N34" s="102">
        <v>25742</v>
      </c>
      <c r="P34" s="101">
        <v>192010</v>
      </c>
      <c r="Q34" s="102">
        <v>25283</v>
      </c>
    </row>
    <row r="35" spans="1:17" x14ac:dyDescent="0.3">
      <c r="A35" s="18">
        <v>34</v>
      </c>
      <c r="B35" s="67">
        <v>16286823148</v>
      </c>
      <c r="C35" s="101">
        <v>223148</v>
      </c>
      <c r="D35" s="102">
        <v>25368</v>
      </c>
      <c r="F35" s="67">
        <v>16286823258</v>
      </c>
      <c r="G35" s="18">
        <v>39</v>
      </c>
      <c r="H35" s="101">
        <v>223258</v>
      </c>
      <c r="I35" s="102">
        <v>25757</v>
      </c>
      <c r="K35" s="67">
        <v>16286823258</v>
      </c>
      <c r="N35" s="102">
        <v>25757</v>
      </c>
      <c r="P35" s="101">
        <v>192072</v>
      </c>
      <c r="Q35" s="102">
        <v>25800</v>
      </c>
    </row>
    <row r="36" spans="1:17" x14ac:dyDescent="0.3">
      <c r="A36" s="18">
        <v>35</v>
      </c>
      <c r="B36" s="67">
        <v>16286823161</v>
      </c>
      <c r="C36" s="101">
        <v>223161</v>
      </c>
      <c r="D36" s="102">
        <v>25392</v>
      </c>
      <c r="F36" s="67">
        <v>16286813442</v>
      </c>
      <c r="G36" s="18">
        <v>31</v>
      </c>
      <c r="H36" s="101">
        <v>213442</v>
      </c>
      <c r="I36" s="102">
        <v>25759</v>
      </c>
      <c r="K36" s="67">
        <v>16286813442</v>
      </c>
      <c r="N36" s="102">
        <v>25759</v>
      </c>
      <c r="P36" s="101">
        <v>192139</v>
      </c>
      <c r="Q36" s="102">
        <v>25958</v>
      </c>
    </row>
    <row r="37" spans="1:17" x14ac:dyDescent="0.3">
      <c r="A37" s="18">
        <v>36</v>
      </c>
      <c r="B37" s="67">
        <v>16286823215</v>
      </c>
      <c r="C37" s="101">
        <v>223215</v>
      </c>
      <c r="D37" s="102">
        <v>25093</v>
      </c>
      <c r="F37" s="67">
        <v>16286802377</v>
      </c>
      <c r="G37" s="18">
        <v>18</v>
      </c>
      <c r="H37" s="101">
        <v>202377</v>
      </c>
      <c r="I37" s="102">
        <v>25768</v>
      </c>
      <c r="K37" s="67">
        <v>16286802377</v>
      </c>
      <c r="L37" s="18">
        <v>18</v>
      </c>
      <c r="M37" s="101">
        <v>202377</v>
      </c>
      <c r="N37" s="102">
        <v>25768</v>
      </c>
      <c r="P37" s="101">
        <v>192193</v>
      </c>
      <c r="Q37" s="102">
        <v>25232</v>
      </c>
    </row>
    <row r="38" spans="1:17" x14ac:dyDescent="0.3">
      <c r="A38" s="18">
        <v>37</v>
      </c>
      <c r="B38" s="67">
        <v>16286823220</v>
      </c>
      <c r="C38" s="101">
        <v>223220</v>
      </c>
      <c r="D38" s="102">
        <v>25167</v>
      </c>
      <c r="F38" s="67">
        <v>16286892072</v>
      </c>
      <c r="G38" s="18">
        <v>5</v>
      </c>
      <c r="H38" s="101">
        <v>192072</v>
      </c>
      <c r="I38" s="102">
        <v>25800</v>
      </c>
      <c r="K38" s="67">
        <v>16286892072</v>
      </c>
      <c r="N38" s="102">
        <v>25800</v>
      </c>
      <c r="P38" s="101">
        <v>192249</v>
      </c>
      <c r="Q38" s="102">
        <v>26012</v>
      </c>
    </row>
    <row r="39" spans="1:17" x14ac:dyDescent="0.3">
      <c r="A39" s="18">
        <v>38</v>
      </c>
      <c r="B39" s="67">
        <v>16286823223</v>
      </c>
      <c r="C39" s="101">
        <v>223223</v>
      </c>
      <c r="D39" s="102">
        <v>25801</v>
      </c>
      <c r="F39" s="67">
        <v>16286823223</v>
      </c>
      <c r="G39" s="18">
        <v>38</v>
      </c>
      <c r="H39" s="101">
        <v>223223</v>
      </c>
      <c r="I39" s="102">
        <v>25801</v>
      </c>
      <c r="K39" s="67">
        <v>16286823223</v>
      </c>
      <c r="N39" s="102">
        <v>25801</v>
      </c>
      <c r="P39" s="101">
        <v>192333</v>
      </c>
      <c r="Q39" s="102">
        <v>25697</v>
      </c>
    </row>
    <row r="40" spans="1:17" x14ac:dyDescent="0.3">
      <c r="A40" s="18">
        <v>39</v>
      </c>
      <c r="B40" s="67">
        <v>16286823258</v>
      </c>
      <c r="C40" s="101">
        <v>223258</v>
      </c>
      <c r="D40" s="102">
        <v>25757</v>
      </c>
      <c r="F40" s="67">
        <v>16286813261</v>
      </c>
      <c r="G40" s="18">
        <v>26</v>
      </c>
      <c r="H40" s="101">
        <v>213261</v>
      </c>
      <c r="I40" s="102">
        <v>25845</v>
      </c>
      <c r="K40" s="67">
        <v>16286813261</v>
      </c>
      <c r="N40" s="102">
        <v>25845</v>
      </c>
      <c r="P40" s="101">
        <v>192472</v>
      </c>
      <c r="Q40" s="102">
        <v>25046</v>
      </c>
    </row>
    <row r="41" spans="1:17" x14ac:dyDescent="0.3">
      <c r="A41" s="18">
        <v>40</v>
      </c>
      <c r="B41" s="67">
        <v>16286823270</v>
      </c>
      <c r="C41" s="101">
        <v>223270</v>
      </c>
      <c r="D41" s="102">
        <v>25294</v>
      </c>
      <c r="F41" s="67">
        <v>16286802451</v>
      </c>
      <c r="G41" s="18">
        <v>19</v>
      </c>
      <c r="H41" s="101">
        <v>202451</v>
      </c>
      <c r="I41" s="102">
        <v>25861</v>
      </c>
      <c r="K41" s="67">
        <v>16286802451</v>
      </c>
      <c r="N41" s="102">
        <v>25861</v>
      </c>
      <c r="P41" s="101">
        <v>202045</v>
      </c>
      <c r="Q41" s="102">
        <v>25701</v>
      </c>
    </row>
    <row r="42" spans="1:17" x14ac:dyDescent="0.3">
      <c r="A42" s="18">
        <v>41</v>
      </c>
      <c r="B42" s="67">
        <v>16286823280</v>
      </c>
      <c r="C42" s="101">
        <v>223280</v>
      </c>
      <c r="D42" s="102">
        <v>25215</v>
      </c>
      <c r="F42" s="67">
        <v>16286882007</v>
      </c>
      <c r="G42" s="18">
        <v>1</v>
      </c>
      <c r="H42" s="101">
        <v>182007</v>
      </c>
      <c r="I42" s="102">
        <v>25871</v>
      </c>
      <c r="K42" s="67">
        <v>16286882007</v>
      </c>
      <c r="L42" s="18">
        <v>1</v>
      </c>
      <c r="M42" s="101">
        <v>182007</v>
      </c>
      <c r="N42" s="102">
        <v>25871</v>
      </c>
      <c r="P42" s="101">
        <v>202053</v>
      </c>
      <c r="Q42" s="102">
        <v>25923</v>
      </c>
    </row>
    <row r="43" spans="1:17" x14ac:dyDescent="0.3">
      <c r="A43" s="18">
        <v>42</v>
      </c>
      <c r="B43" s="67">
        <v>16286823292</v>
      </c>
      <c r="C43" s="101">
        <v>223292</v>
      </c>
      <c r="D43" s="102">
        <v>25230</v>
      </c>
      <c r="F43" s="67">
        <v>16286823044</v>
      </c>
      <c r="G43" s="18">
        <v>32</v>
      </c>
      <c r="H43" s="101">
        <v>223044</v>
      </c>
      <c r="I43" s="102">
        <v>25916</v>
      </c>
      <c r="K43" s="67">
        <v>16286823044</v>
      </c>
      <c r="N43" s="102">
        <v>25916</v>
      </c>
      <c r="P43" s="101">
        <v>202116</v>
      </c>
      <c r="Q43" s="102">
        <v>25031</v>
      </c>
    </row>
    <row r="44" spans="1:17" x14ac:dyDescent="0.3">
      <c r="A44" s="18">
        <v>43</v>
      </c>
      <c r="B44" s="67">
        <v>16286823373</v>
      </c>
      <c r="C44" s="101">
        <v>223373</v>
      </c>
      <c r="D44" s="102">
        <v>25741</v>
      </c>
      <c r="F44" s="67">
        <v>16286802053</v>
      </c>
      <c r="G44" s="18">
        <v>12</v>
      </c>
      <c r="H44" s="101">
        <v>202053</v>
      </c>
      <c r="I44" s="102">
        <v>25923</v>
      </c>
      <c r="K44" s="67">
        <v>16286802053</v>
      </c>
      <c r="L44" s="18"/>
      <c r="M44" s="101"/>
      <c r="N44" s="102">
        <v>25923</v>
      </c>
      <c r="P44" s="101">
        <v>202176</v>
      </c>
      <c r="Q44" s="102">
        <v>25336</v>
      </c>
    </row>
    <row r="45" spans="1:17" x14ac:dyDescent="0.3">
      <c r="A45" s="18">
        <v>44</v>
      </c>
      <c r="B45" s="67">
        <v>16286823401</v>
      </c>
      <c r="C45" s="101">
        <v>223401</v>
      </c>
      <c r="D45" s="102">
        <v>25742</v>
      </c>
      <c r="F45" s="67">
        <v>16286813192</v>
      </c>
      <c r="G45" s="18">
        <v>24</v>
      </c>
      <c r="H45" s="101">
        <v>213192</v>
      </c>
      <c r="I45" s="102">
        <v>25927</v>
      </c>
      <c r="K45" s="67">
        <v>16286813192</v>
      </c>
      <c r="L45" s="18">
        <v>24</v>
      </c>
      <c r="M45" s="101">
        <v>213192</v>
      </c>
      <c r="N45" s="102">
        <v>25927</v>
      </c>
      <c r="P45" s="101">
        <v>202196</v>
      </c>
      <c r="Q45" s="102">
        <v>25519</v>
      </c>
    </row>
    <row r="46" spans="1:17" x14ac:dyDescent="0.3">
      <c r="A46" s="18">
        <v>45</v>
      </c>
      <c r="B46" s="67">
        <v>16286823404</v>
      </c>
      <c r="C46" s="101">
        <v>223404</v>
      </c>
      <c r="D46" s="102">
        <v>25060</v>
      </c>
      <c r="F46" s="67">
        <v>16286823135</v>
      </c>
      <c r="G46" s="18">
        <v>33</v>
      </c>
      <c r="H46" s="101">
        <v>223135</v>
      </c>
      <c r="I46" s="102">
        <v>25948</v>
      </c>
      <c r="K46" s="67">
        <v>16286823135</v>
      </c>
      <c r="L46" s="18">
        <v>33</v>
      </c>
      <c r="M46" s="101">
        <v>223135</v>
      </c>
      <c r="N46" s="102">
        <v>25948</v>
      </c>
      <c r="P46" s="101">
        <v>202242</v>
      </c>
      <c r="Q46" s="102">
        <v>25973</v>
      </c>
    </row>
    <row r="47" spans="1:17" x14ac:dyDescent="0.3">
      <c r="A47" s="18">
        <v>46</v>
      </c>
      <c r="B47" s="67">
        <v>16286823419</v>
      </c>
      <c r="C47" s="101">
        <v>223419</v>
      </c>
      <c r="D47" s="102">
        <v>25312</v>
      </c>
      <c r="F47" s="67">
        <v>16286892139</v>
      </c>
      <c r="G47" s="18">
        <v>6</v>
      </c>
      <c r="H47" s="101">
        <v>192139</v>
      </c>
      <c r="I47" s="102">
        <v>25958</v>
      </c>
      <c r="K47" s="67">
        <v>16286892139</v>
      </c>
      <c r="L47" s="18">
        <v>6</v>
      </c>
      <c r="M47" s="101">
        <v>192139</v>
      </c>
      <c r="N47" s="102">
        <v>25958</v>
      </c>
      <c r="P47" s="101">
        <v>202290</v>
      </c>
      <c r="Q47" s="102">
        <v>25094</v>
      </c>
    </row>
    <row r="48" spans="1:17" x14ac:dyDescent="0.3">
      <c r="A48" s="18">
        <v>47</v>
      </c>
      <c r="B48" s="67">
        <v>16286823437</v>
      </c>
      <c r="C48" s="101">
        <v>223437</v>
      </c>
      <c r="D48" s="102">
        <v>25376</v>
      </c>
      <c r="F48" s="67">
        <v>16286802242</v>
      </c>
      <c r="G48" s="18">
        <v>16</v>
      </c>
      <c r="H48" s="101">
        <v>202242</v>
      </c>
      <c r="I48" s="102">
        <v>25973</v>
      </c>
      <c r="K48" s="67">
        <v>16286802242</v>
      </c>
      <c r="N48" s="102">
        <v>25973</v>
      </c>
      <c r="P48" s="101">
        <v>202377</v>
      </c>
      <c r="Q48" s="102">
        <v>25768</v>
      </c>
    </row>
    <row r="49" spans="1:17" x14ac:dyDescent="0.3">
      <c r="A49" s="18">
        <v>48</v>
      </c>
      <c r="B49" s="67">
        <v>16286823440</v>
      </c>
      <c r="C49" s="101">
        <v>223440</v>
      </c>
      <c r="D49" s="102">
        <v>25462</v>
      </c>
      <c r="F49" s="67">
        <v>16286892249</v>
      </c>
      <c r="G49" s="18">
        <v>8</v>
      </c>
      <c r="H49" s="101">
        <v>192249</v>
      </c>
      <c r="I49" s="102">
        <v>26012</v>
      </c>
      <c r="K49" s="67">
        <v>16286892249</v>
      </c>
      <c r="N49" s="102">
        <v>26012</v>
      </c>
      <c r="P49" s="101">
        <v>202451</v>
      </c>
      <c r="Q49" s="102">
        <v>25861</v>
      </c>
    </row>
  </sheetData>
  <sortState ref="F2:J81">
    <sortCondition ref="I2:I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1"/>
  <sheetViews>
    <sheetView topLeftCell="F1" workbookViewId="0">
      <selection activeCell="AA14" sqref="AA14"/>
    </sheetView>
  </sheetViews>
  <sheetFormatPr baseColWidth="10" defaultColWidth="11.5546875" defaultRowHeight="14.4" x14ac:dyDescent="0.3"/>
  <cols>
    <col min="1" max="1" width="4.44140625" style="100" customWidth="1"/>
    <col min="2" max="2" width="22.6640625" style="100" bestFit="1" customWidth="1"/>
    <col min="3" max="4" width="8.6640625" style="100" customWidth="1"/>
    <col min="5" max="5" width="13" style="100" bestFit="1" customWidth="1"/>
    <col min="6" max="6" width="7.33203125" style="100" customWidth="1"/>
    <col min="7" max="7" width="11.5546875" style="100"/>
    <col min="8" max="8" width="18.109375" style="100" bestFit="1" customWidth="1"/>
    <col min="9" max="9" width="5.6640625" style="100" bestFit="1" customWidth="1"/>
    <col min="10" max="10" width="11.88671875" style="100" customWidth="1"/>
    <col min="11" max="11" width="9.33203125" style="100" customWidth="1"/>
    <col min="12" max="12" width="17.6640625" style="100" customWidth="1"/>
    <col min="13" max="13" width="9.33203125" style="100" customWidth="1"/>
    <col min="14" max="16384" width="11.5546875" style="100"/>
  </cols>
  <sheetData>
    <row r="1" spans="1:13" ht="43.2" x14ac:dyDescent="0.3">
      <c r="A1" s="100" t="s">
        <v>63</v>
      </c>
      <c r="B1" s="103" t="s">
        <v>64</v>
      </c>
      <c r="C1" s="103" t="s">
        <v>65</v>
      </c>
      <c r="D1" s="103" t="s">
        <v>47</v>
      </c>
      <c r="E1" s="103" t="s">
        <v>66</v>
      </c>
      <c r="F1" s="103" t="s">
        <v>75</v>
      </c>
      <c r="G1" s="105" t="s">
        <v>181</v>
      </c>
      <c r="H1" s="100" t="s">
        <v>67</v>
      </c>
      <c r="I1" s="100" t="s">
        <v>68</v>
      </c>
      <c r="J1" s="103" t="s">
        <v>45</v>
      </c>
      <c r="K1" s="103" t="s">
        <v>46</v>
      </c>
      <c r="L1" s="103" t="s">
        <v>182</v>
      </c>
      <c r="M1" s="105" t="s">
        <v>183</v>
      </c>
    </row>
    <row r="2" spans="1:13" x14ac:dyDescent="0.3">
      <c r="A2" s="100">
        <v>15</v>
      </c>
      <c r="B2" s="103" t="s">
        <v>184</v>
      </c>
      <c r="C2" s="103" t="s">
        <v>81</v>
      </c>
      <c r="D2" s="17">
        <v>213665</v>
      </c>
      <c r="E2" s="103" t="s">
        <v>185</v>
      </c>
      <c r="F2" s="18">
        <v>4</v>
      </c>
      <c r="G2" s="101">
        <v>192010</v>
      </c>
      <c r="H2" s="100" t="s">
        <v>186</v>
      </c>
      <c r="I2" s="100">
        <v>0</v>
      </c>
      <c r="J2" s="104">
        <v>45113</v>
      </c>
      <c r="K2" s="100" t="s">
        <v>187</v>
      </c>
      <c r="L2" s="106">
        <v>45113.431307870371</v>
      </c>
      <c r="M2" s="100">
        <v>1</v>
      </c>
    </row>
    <row r="3" spans="1:13" x14ac:dyDescent="0.3">
      <c r="A3" s="100">
        <v>16</v>
      </c>
      <c r="B3" s="103" t="s">
        <v>184</v>
      </c>
      <c r="C3" s="103" t="s">
        <v>81</v>
      </c>
      <c r="D3" s="17">
        <v>213665</v>
      </c>
      <c r="E3" s="103" t="s">
        <v>185</v>
      </c>
      <c r="F3" s="18">
        <v>4</v>
      </c>
      <c r="G3" s="101">
        <v>192010</v>
      </c>
      <c r="H3" s="100" t="s">
        <v>188</v>
      </c>
      <c r="I3" s="100">
        <v>1</v>
      </c>
      <c r="J3" s="104">
        <v>45113</v>
      </c>
      <c r="K3" s="100" t="s">
        <v>189</v>
      </c>
      <c r="L3" s="106">
        <v>45113.431331018517</v>
      </c>
      <c r="M3" s="100">
        <v>2</v>
      </c>
    </row>
    <row r="4" spans="1:13" x14ac:dyDescent="0.3">
      <c r="A4" s="100">
        <v>17</v>
      </c>
      <c r="B4" s="103" t="s">
        <v>184</v>
      </c>
      <c r="C4" s="103" t="s">
        <v>81</v>
      </c>
      <c r="D4" s="17">
        <v>213665</v>
      </c>
      <c r="E4" s="103" t="s">
        <v>185</v>
      </c>
      <c r="F4" s="18">
        <v>4</v>
      </c>
      <c r="G4" s="101">
        <v>192010</v>
      </c>
      <c r="H4" s="100" t="s">
        <v>190</v>
      </c>
      <c r="I4" s="100">
        <v>1</v>
      </c>
      <c r="J4" s="104">
        <v>45113</v>
      </c>
      <c r="K4" s="100" t="s">
        <v>191</v>
      </c>
      <c r="L4" s="106">
        <v>45113.431469907409</v>
      </c>
      <c r="M4" s="100">
        <v>3</v>
      </c>
    </row>
    <row r="5" spans="1:13" x14ac:dyDescent="0.3">
      <c r="A5" s="100">
        <v>18</v>
      </c>
      <c r="B5" s="103" t="s">
        <v>184</v>
      </c>
      <c r="C5" s="103" t="s">
        <v>81</v>
      </c>
      <c r="D5" s="17">
        <v>213665</v>
      </c>
      <c r="E5" s="103" t="s">
        <v>185</v>
      </c>
      <c r="F5" s="18">
        <v>4</v>
      </c>
      <c r="G5" s="101">
        <v>192010</v>
      </c>
      <c r="H5" s="100" t="s">
        <v>192</v>
      </c>
      <c r="I5" s="100">
        <v>1</v>
      </c>
      <c r="J5" s="104">
        <v>45113</v>
      </c>
      <c r="K5" s="100" t="s">
        <v>193</v>
      </c>
      <c r="L5" s="106">
        <v>45113.431493055556</v>
      </c>
      <c r="M5" s="100">
        <v>4</v>
      </c>
    </row>
    <row r="6" spans="1:13" x14ac:dyDescent="0.3">
      <c r="A6" s="100">
        <v>19</v>
      </c>
      <c r="B6" s="103" t="s">
        <v>184</v>
      </c>
      <c r="C6" s="103" t="s">
        <v>81</v>
      </c>
      <c r="D6" s="17">
        <v>213665</v>
      </c>
      <c r="E6" s="103" t="s">
        <v>194</v>
      </c>
      <c r="F6" s="18">
        <v>2</v>
      </c>
      <c r="G6" s="101">
        <v>182103</v>
      </c>
      <c r="H6" s="100" t="s">
        <v>195</v>
      </c>
      <c r="I6" s="100">
        <v>0</v>
      </c>
      <c r="J6" s="104">
        <v>45113</v>
      </c>
      <c r="K6" s="100" t="s">
        <v>196</v>
      </c>
      <c r="L6" s="106">
        <v>45113.43246527778</v>
      </c>
      <c r="M6" s="100">
        <v>5</v>
      </c>
    </row>
    <row r="7" spans="1:13" x14ac:dyDescent="0.3">
      <c r="A7" s="100">
        <v>20</v>
      </c>
      <c r="B7" s="103" t="s">
        <v>184</v>
      </c>
      <c r="C7" s="103" t="s">
        <v>81</v>
      </c>
      <c r="D7" s="17">
        <v>213665</v>
      </c>
      <c r="E7" s="103" t="s">
        <v>194</v>
      </c>
      <c r="F7" s="18">
        <v>2</v>
      </c>
      <c r="G7" s="101">
        <v>182103</v>
      </c>
      <c r="H7" s="100" t="s">
        <v>197</v>
      </c>
      <c r="I7" s="100">
        <v>1</v>
      </c>
      <c r="J7" s="104">
        <v>45113</v>
      </c>
      <c r="K7" s="100" t="s">
        <v>198</v>
      </c>
      <c r="L7" s="106">
        <v>45113.432476851849</v>
      </c>
      <c r="M7" s="100">
        <v>6</v>
      </c>
    </row>
    <row r="8" spans="1:13" x14ac:dyDescent="0.3">
      <c r="A8" s="100">
        <v>21</v>
      </c>
      <c r="B8" s="103" t="s">
        <v>184</v>
      </c>
      <c r="C8" s="103" t="s">
        <v>81</v>
      </c>
      <c r="D8" s="17">
        <v>213665</v>
      </c>
      <c r="E8" s="103" t="s">
        <v>194</v>
      </c>
      <c r="F8" s="18">
        <v>2</v>
      </c>
      <c r="G8" s="101">
        <v>182103</v>
      </c>
      <c r="H8" s="100" t="s">
        <v>199</v>
      </c>
      <c r="I8" s="100">
        <v>1</v>
      </c>
      <c r="J8" s="104">
        <v>45113</v>
      </c>
      <c r="K8" s="100" t="s">
        <v>200</v>
      </c>
      <c r="L8" s="106">
        <v>45113.432511574072</v>
      </c>
      <c r="M8" s="100">
        <v>7</v>
      </c>
    </row>
    <row r="9" spans="1:13" x14ac:dyDescent="0.3">
      <c r="A9" s="100">
        <v>22</v>
      </c>
      <c r="B9" s="103" t="s">
        <v>184</v>
      </c>
      <c r="C9" s="103" t="s">
        <v>81</v>
      </c>
      <c r="D9" s="17">
        <v>213665</v>
      </c>
      <c r="E9" s="103" t="s">
        <v>194</v>
      </c>
      <c r="F9" s="18">
        <v>2</v>
      </c>
      <c r="G9" s="101">
        <v>182103</v>
      </c>
      <c r="H9" s="100" t="s">
        <v>201</v>
      </c>
      <c r="I9" s="100">
        <v>2</v>
      </c>
      <c r="J9" s="104">
        <v>45113</v>
      </c>
      <c r="K9" s="100" t="s">
        <v>202</v>
      </c>
      <c r="L9" s="106">
        <v>45113.432534722226</v>
      </c>
      <c r="M9" s="100">
        <v>8</v>
      </c>
    </row>
    <row r="10" spans="1:13" x14ac:dyDescent="0.3">
      <c r="A10" s="100">
        <v>23</v>
      </c>
      <c r="B10" s="103" t="s">
        <v>184</v>
      </c>
      <c r="C10" s="103" t="s">
        <v>81</v>
      </c>
      <c r="D10" s="17">
        <v>213665</v>
      </c>
      <c r="E10" s="103" t="s">
        <v>194</v>
      </c>
      <c r="F10" s="18">
        <v>2</v>
      </c>
      <c r="G10" s="101">
        <v>182103</v>
      </c>
      <c r="H10" s="100" t="s">
        <v>203</v>
      </c>
      <c r="I10" s="100">
        <v>1</v>
      </c>
      <c r="J10" s="104">
        <v>45113</v>
      </c>
      <c r="K10" s="100" t="s">
        <v>204</v>
      </c>
      <c r="L10" s="106">
        <v>45113.432627314818</v>
      </c>
      <c r="M10" s="100">
        <v>9</v>
      </c>
    </row>
    <row r="11" spans="1:13" x14ac:dyDescent="0.3">
      <c r="A11" s="100">
        <v>24</v>
      </c>
      <c r="B11" s="103" t="s">
        <v>184</v>
      </c>
      <c r="C11" s="103" t="s">
        <v>81</v>
      </c>
      <c r="D11" s="17">
        <v>213665</v>
      </c>
      <c r="E11" s="103" t="s">
        <v>194</v>
      </c>
      <c r="F11" s="18">
        <v>2</v>
      </c>
      <c r="G11" s="101">
        <v>182103</v>
      </c>
      <c r="H11" s="100" t="s">
        <v>205</v>
      </c>
      <c r="I11" s="100">
        <v>0</v>
      </c>
      <c r="J11" s="104">
        <v>45113</v>
      </c>
      <c r="K11" s="100" t="s">
        <v>206</v>
      </c>
      <c r="L11" s="106">
        <v>45113.432673611111</v>
      </c>
      <c r="M11" s="100">
        <v>10</v>
      </c>
    </row>
    <row r="12" spans="1:13" x14ac:dyDescent="0.3">
      <c r="A12" s="100">
        <v>25</v>
      </c>
      <c r="B12" s="103" t="s">
        <v>184</v>
      </c>
      <c r="C12" s="103" t="s">
        <v>81</v>
      </c>
      <c r="D12" s="17">
        <v>213665</v>
      </c>
      <c r="E12" s="103" t="s">
        <v>194</v>
      </c>
      <c r="F12" s="18">
        <v>2</v>
      </c>
      <c r="G12" s="101">
        <v>182103</v>
      </c>
      <c r="H12" s="100" t="s">
        <v>207</v>
      </c>
      <c r="I12" s="100">
        <v>1</v>
      </c>
      <c r="J12" s="104">
        <v>45113</v>
      </c>
      <c r="K12" s="100" t="s">
        <v>208</v>
      </c>
      <c r="L12" s="106">
        <v>45113.432754629626</v>
      </c>
      <c r="M12" s="100">
        <v>11</v>
      </c>
    </row>
    <row r="13" spans="1:13" x14ac:dyDescent="0.3">
      <c r="A13" s="100">
        <v>27</v>
      </c>
      <c r="B13" s="103" t="s">
        <v>184</v>
      </c>
      <c r="C13" s="103" t="s">
        <v>81</v>
      </c>
      <c r="D13" s="17">
        <v>213665</v>
      </c>
      <c r="E13" s="103" t="s">
        <v>209</v>
      </c>
      <c r="F13" s="18">
        <v>12</v>
      </c>
      <c r="G13" s="101">
        <v>202053</v>
      </c>
      <c r="H13" s="100" t="s">
        <v>210</v>
      </c>
      <c r="I13" s="100">
        <v>3</v>
      </c>
      <c r="J13" s="104">
        <v>45113</v>
      </c>
      <c r="K13" s="100" t="s">
        <v>211</v>
      </c>
      <c r="L13" s="106">
        <v>45113.688738425924</v>
      </c>
      <c r="M13" s="100">
        <v>12</v>
      </c>
    </row>
    <row r="14" spans="1:13" x14ac:dyDescent="0.3">
      <c r="A14" s="100">
        <v>28</v>
      </c>
      <c r="B14" s="103" t="s">
        <v>184</v>
      </c>
      <c r="C14" s="103" t="s">
        <v>81</v>
      </c>
      <c r="D14" s="17">
        <v>213665</v>
      </c>
      <c r="E14" s="103" t="s">
        <v>209</v>
      </c>
      <c r="F14" s="18">
        <v>12</v>
      </c>
      <c r="G14" s="101">
        <v>202053</v>
      </c>
      <c r="H14" s="100" t="s">
        <v>212</v>
      </c>
      <c r="I14" s="100">
        <v>1</v>
      </c>
      <c r="J14" s="104">
        <v>45113</v>
      </c>
      <c r="K14" s="100" t="s">
        <v>213</v>
      </c>
      <c r="L14" s="106">
        <v>45113.690300925926</v>
      </c>
      <c r="M14" s="100">
        <v>13</v>
      </c>
    </row>
    <row r="15" spans="1:13" x14ac:dyDescent="0.3">
      <c r="A15" s="100">
        <v>29</v>
      </c>
      <c r="B15" s="103" t="s">
        <v>184</v>
      </c>
      <c r="C15" s="103" t="s">
        <v>81</v>
      </c>
      <c r="D15" s="17">
        <v>213665</v>
      </c>
      <c r="E15" s="103" t="s">
        <v>214</v>
      </c>
      <c r="F15" s="18">
        <v>39</v>
      </c>
      <c r="G15" s="101">
        <v>223258</v>
      </c>
      <c r="H15" s="100" t="s">
        <v>215</v>
      </c>
      <c r="I15" s="100">
        <v>0</v>
      </c>
      <c r="J15" s="104">
        <v>45113</v>
      </c>
      <c r="K15" s="100" t="s">
        <v>216</v>
      </c>
      <c r="L15" s="106">
        <v>45113.71671296296</v>
      </c>
      <c r="M15" s="100">
        <v>14</v>
      </c>
    </row>
    <row r="16" spans="1:13" x14ac:dyDescent="0.3">
      <c r="A16" s="100">
        <v>30</v>
      </c>
      <c r="B16" s="103" t="s">
        <v>184</v>
      </c>
      <c r="C16" s="103" t="s">
        <v>81</v>
      </c>
      <c r="D16" s="17">
        <v>213665</v>
      </c>
      <c r="E16" s="103" t="s">
        <v>214</v>
      </c>
      <c r="F16" s="18">
        <v>39</v>
      </c>
      <c r="G16" s="101">
        <v>223258</v>
      </c>
      <c r="H16" s="100" t="s">
        <v>217</v>
      </c>
      <c r="I16" s="100">
        <v>1</v>
      </c>
      <c r="J16" s="104">
        <v>45113</v>
      </c>
      <c r="K16" s="100" t="s">
        <v>218</v>
      </c>
      <c r="L16" s="106">
        <v>45113.716724537036</v>
      </c>
      <c r="M16" s="100">
        <v>15</v>
      </c>
    </row>
    <row r="17" spans="1:13" x14ac:dyDescent="0.3">
      <c r="A17" s="100">
        <v>31</v>
      </c>
      <c r="B17" s="103" t="s">
        <v>184</v>
      </c>
      <c r="C17" s="103" t="s">
        <v>81</v>
      </c>
      <c r="D17" s="17">
        <v>213665</v>
      </c>
      <c r="E17" s="103" t="s">
        <v>209</v>
      </c>
      <c r="F17" s="18">
        <v>12</v>
      </c>
      <c r="G17" s="101">
        <v>202053</v>
      </c>
      <c r="H17" s="100" t="s">
        <v>219</v>
      </c>
      <c r="I17" s="100">
        <v>1</v>
      </c>
      <c r="J17" s="104">
        <v>45113</v>
      </c>
      <c r="K17" s="100" t="s">
        <v>220</v>
      </c>
      <c r="L17" s="106">
        <v>45113.725381944445</v>
      </c>
      <c r="M17" s="100">
        <v>16</v>
      </c>
    </row>
    <row r="18" spans="1:13" x14ac:dyDescent="0.3">
      <c r="A18" s="100">
        <v>32</v>
      </c>
      <c r="B18" s="103" t="s">
        <v>184</v>
      </c>
      <c r="C18" s="103" t="s">
        <v>81</v>
      </c>
      <c r="D18" s="17">
        <v>213665</v>
      </c>
      <c r="E18" s="103" t="s">
        <v>209</v>
      </c>
      <c r="F18" s="18">
        <v>12</v>
      </c>
      <c r="G18" s="101">
        <v>202053</v>
      </c>
      <c r="H18" s="100" t="s">
        <v>221</v>
      </c>
      <c r="I18" s="100">
        <v>1</v>
      </c>
      <c r="J18" s="104">
        <v>45113</v>
      </c>
      <c r="K18" s="100" t="s">
        <v>222</v>
      </c>
      <c r="L18" s="106">
        <v>45113.726319444446</v>
      </c>
      <c r="M18" s="100">
        <v>17</v>
      </c>
    </row>
    <row r="19" spans="1:13" x14ac:dyDescent="0.3">
      <c r="A19" s="100">
        <v>33</v>
      </c>
      <c r="B19" s="103" t="s">
        <v>184</v>
      </c>
      <c r="C19" s="103" t="s">
        <v>81</v>
      </c>
      <c r="D19" s="17">
        <v>213665</v>
      </c>
      <c r="E19" s="103" t="s">
        <v>209</v>
      </c>
      <c r="F19" s="18">
        <v>12</v>
      </c>
      <c r="G19" s="101">
        <v>202053</v>
      </c>
      <c r="H19" s="100" t="s">
        <v>223</v>
      </c>
      <c r="I19" s="100">
        <v>0</v>
      </c>
      <c r="J19" s="104">
        <v>45113</v>
      </c>
      <c r="K19" s="100" t="s">
        <v>224</v>
      </c>
      <c r="L19" s="106">
        <v>45113.726342592592</v>
      </c>
      <c r="M19" s="100">
        <v>18</v>
      </c>
    </row>
    <row r="20" spans="1:13" x14ac:dyDescent="0.3">
      <c r="A20" s="100">
        <v>34</v>
      </c>
      <c r="B20" s="103" t="s">
        <v>184</v>
      </c>
      <c r="C20" s="103" t="s">
        <v>81</v>
      </c>
      <c r="D20" s="17">
        <v>213665</v>
      </c>
      <c r="E20" s="103" t="s">
        <v>194</v>
      </c>
      <c r="F20" s="18">
        <v>2</v>
      </c>
      <c r="G20" s="101">
        <v>182103</v>
      </c>
      <c r="H20" s="100" t="s">
        <v>225</v>
      </c>
      <c r="I20" s="100">
        <v>0</v>
      </c>
      <c r="J20" s="104">
        <v>45113</v>
      </c>
      <c r="K20" s="100" t="s">
        <v>226</v>
      </c>
      <c r="L20" s="106">
        <v>45113.772002314814</v>
      </c>
      <c r="M20" s="100">
        <v>19</v>
      </c>
    </row>
    <row r="21" spans="1:13" x14ac:dyDescent="0.3">
      <c r="A21" s="100">
        <v>35</v>
      </c>
      <c r="B21" s="103" t="s">
        <v>184</v>
      </c>
      <c r="C21" s="103" t="s">
        <v>81</v>
      </c>
      <c r="D21" s="17">
        <v>213665</v>
      </c>
      <c r="E21" s="103" t="s">
        <v>194</v>
      </c>
      <c r="F21" s="18">
        <v>2</v>
      </c>
      <c r="G21" s="101">
        <v>182103</v>
      </c>
      <c r="H21" s="100" t="s">
        <v>227</v>
      </c>
      <c r="I21" s="100">
        <v>0</v>
      </c>
      <c r="J21" s="104">
        <v>45113</v>
      </c>
      <c r="K21" s="100" t="s">
        <v>228</v>
      </c>
      <c r="L21" s="106">
        <v>45113.772187499999</v>
      </c>
      <c r="M21" s="100">
        <v>20</v>
      </c>
    </row>
    <row r="22" spans="1:13" x14ac:dyDescent="0.3">
      <c r="A22" s="100">
        <v>36</v>
      </c>
      <c r="B22" s="103" t="s">
        <v>184</v>
      </c>
      <c r="C22" s="103" t="s">
        <v>81</v>
      </c>
      <c r="D22" s="17">
        <v>213665</v>
      </c>
      <c r="E22" s="103" t="s">
        <v>229</v>
      </c>
      <c r="F22" s="18">
        <v>37</v>
      </c>
      <c r="G22" s="101">
        <v>223220</v>
      </c>
      <c r="H22" s="100" t="s">
        <v>230</v>
      </c>
      <c r="I22" s="100">
        <v>1</v>
      </c>
      <c r="J22" s="104">
        <v>45113</v>
      </c>
      <c r="K22" s="100" t="s">
        <v>231</v>
      </c>
      <c r="L22" s="106">
        <v>45113.937025462961</v>
      </c>
      <c r="M22" s="100">
        <v>21</v>
      </c>
    </row>
    <row r="23" spans="1:13" x14ac:dyDescent="0.3">
      <c r="A23" s="100">
        <v>37</v>
      </c>
      <c r="B23" s="103" t="s">
        <v>184</v>
      </c>
      <c r="C23" s="103" t="s">
        <v>81</v>
      </c>
      <c r="D23" s="17">
        <v>213665</v>
      </c>
      <c r="E23" s="103" t="s">
        <v>232</v>
      </c>
      <c r="F23" s="18">
        <v>5</v>
      </c>
      <c r="G23" s="101">
        <v>192072</v>
      </c>
      <c r="H23" s="100" t="s">
        <v>233</v>
      </c>
      <c r="I23" s="100">
        <v>1</v>
      </c>
      <c r="J23" s="104">
        <v>45113</v>
      </c>
      <c r="K23" s="100" t="s">
        <v>234</v>
      </c>
      <c r="L23" s="106">
        <v>45113.946377314816</v>
      </c>
      <c r="M23" s="100">
        <v>22</v>
      </c>
    </row>
    <row r="24" spans="1:13" x14ac:dyDescent="0.3">
      <c r="A24" s="100">
        <v>38</v>
      </c>
      <c r="B24" s="103" t="s">
        <v>184</v>
      </c>
      <c r="C24" s="103" t="s">
        <v>81</v>
      </c>
      <c r="D24" s="17">
        <v>213665</v>
      </c>
      <c r="E24" s="103" t="s">
        <v>214</v>
      </c>
      <c r="F24" s="18">
        <v>39</v>
      </c>
      <c r="G24" s="101">
        <v>223258</v>
      </c>
      <c r="H24" s="100" t="s">
        <v>235</v>
      </c>
      <c r="I24" s="100">
        <v>4</v>
      </c>
      <c r="J24" s="104">
        <v>45113</v>
      </c>
      <c r="K24" s="100" t="s">
        <v>236</v>
      </c>
      <c r="L24" s="106">
        <v>45113.967199074075</v>
      </c>
      <c r="M24" s="100">
        <v>23</v>
      </c>
    </row>
    <row r="25" spans="1:13" x14ac:dyDescent="0.3">
      <c r="A25" s="100">
        <v>39</v>
      </c>
      <c r="B25" s="103" t="s">
        <v>184</v>
      </c>
      <c r="C25" s="103" t="s">
        <v>81</v>
      </c>
      <c r="D25" s="17">
        <v>213665</v>
      </c>
      <c r="E25" s="103" t="s">
        <v>214</v>
      </c>
      <c r="F25" s="18">
        <v>39</v>
      </c>
      <c r="G25" s="101">
        <v>223258</v>
      </c>
      <c r="H25" s="100" t="s">
        <v>237</v>
      </c>
      <c r="I25" s="100">
        <v>0</v>
      </c>
      <c r="J25" s="104">
        <v>45113</v>
      </c>
      <c r="K25" s="100" t="s">
        <v>238</v>
      </c>
      <c r="L25" s="106">
        <v>45113.968599537038</v>
      </c>
      <c r="M25" s="100">
        <v>24</v>
      </c>
    </row>
    <row r="26" spans="1:13" x14ac:dyDescent="0.3">
      <c r="A26" s="100">
        <v>40</v>
      </c>
      <c r="B26" s="103" t="s">
        <v>184</v>
      </c>
      <c r="C26" s="103" t="s">
        <v>81</v>
      </c>
      <c r="D26" s="17">
        <v>213665</v>
      </c>
      <c r="E26" s="103" t="s">
        <v>214</v>
      </c>
      <c r="F26" s="18">
        <v>39</v>
      </c>
      <c r="G26" s="101">
        <v>223258</v>
      </c>
      <c r="H26" s="100" t="s">
        <v>239</v>
      </c>
      <c r="I26" s="100">
        <v>0</v>
      </c>
      <c r="J26" s="104">
        <v>45113</v>
      </c>
      <c r="K26" s="100" t="s">
        <v>240</v>
      </c>
      <c r="L26" s="106">
        <v>45113.991527777776</v>
      </c>
      <c r="M26" s="100">
        <v>25</v>
      </c>
    </row>
    <row r="27" spans="1:13" x14ac:dyDescent="0.3">
      <c r="A27" s="100">
        <v>41</v>
      </c>
      <c r="B27" s="103" t="s">
        <v>184</v>
      </c>
      <c r="C27" s="103" t="s">
        <v>81</v>
      </c>
      <c r="D27" s="17">
        <v>213665</v>
      </c>
      <c r="E27" s="103" t="s">
        <v>241</v>
      </c>
      <c r="F27" s="18">
        <v>38</v>
      </c>
      <c r="G27" s="101">
        <v>223223</v>
      </c>
      <c r="H27" s="100" t="s">
        <v>242</v>
      </c>
      <c r="I27" s="100">
        <v>1</v>
      </c>
      <c r="J27" s="104">
        <v>45113</v>
      </c>
      <c r="K27" s="100" t="s">
        <v>243</v>
      </c>
      <c r="L27" s="106">
        <v>45113.995833333334</v>
      </c>
      <c r="M27" s="100">
        <v>26</v>
      </c>
    </row>
    <row r="28" spans="1:13" x14ac:dyDescent="0.3">
      <c r="A28" s="100">
        <v>42</v>
      </c>
      <c r="B28" s="103" t="s">
        <v>184</v>
      </c>
      <c r="C28" s="103" t="s">
        <v>81</v>
      </c>
      <c r="D28" s="17">
        <v>213665</v>
      </c>
      <c r="E28" s="103" t="s">
        <v>244</v>
      </c>
      <c r="F28" s="18">
        <v>8</v>
      </c>
      <c r="G28" s="101">
        <v>192249</v>
      </c>
      <c r="H28" s="100" t="s">
        <v>245</v>
      </c>
      <c r="I28" s="100">
        <v>4</v>
      </c>
      <c r="J28" s="104">
        <v>45114</v>
      </c>
      <c r="K28" s="100" t="s">
        <v>246</v>
      </c>
      <c r="L28" s="106">
        <v>45114.006932870368</v>
      </c>
      <c r="M28" s="100">
        <v>27</v>
      </c>
    </row>
    <row r="29" spans="1:13" x14ac:dyDescent="0.3">
      <c r="A29" s="100">
        <v>43</v>
      </c>
      <c r="B29" s="103" t="s">
        <v>184</v>
      </c>
      <c r="C29" s="103" t="s">
        <v>81</v>
      </c>
      <c r="D29" s="17">
        <v>213665</v>
      </c>
      <c r="E29" s="103" t="s">
        <v>244</v>
      </c>
      <c r="F29" s="18">
        <v>8</v>
      </c>
      <c r="G29" s="101">
        <v>192249</v>
      </c>
      <c r="H29" s="100" t="s">
        <v>247</v>
      </c>
      <c r="I29" s="100">
        <v>0</v>
      </c>
      <c r="J29" s="104">
        <v>45114</v>
      </c>
      <c r="K29" s="100" t="s">
        <v>248</v>
      </c>
      <c r="L29" s="106">
        <v>45114.006990740738</v>
      </c>
      <c r="M29" s="100">
        <v>28</v>
      </c>
    </row>
    <row r="30" spans="1:13" x14ac:dyDescent="0.3">
      <c r="A30" s="100">
        <v>44</v>
      </c>
      <c r="B30" s="103" t="s">
        <v>184</v>
      </c>
      <c r="C30" s="103" t="s">
        <v>81</v>
      </c>
      <c r="D30" s="17">
        <v>213665</v>
      </c>
      <c r="E30" s="103" t="s">
        <v>249</v>
      </c>
      <c r="F30" s="18">
        <v>32</v>
      </c>
      <c r="G30" s="101">
        <v>223044</v>
      </c>
      <c r="H30" s="100" t="s">
        <v>250</v>
      </c>
      <c r="I30" s="100">
        <v>1</v>
      </c>
      <c r="J30" s="104">
        <v>45114</v>
      </c>
      <c r="K30" s="100" t="s">
        <v>251</v>
      </c>
      <c r="L30" s="106">
        <v>45114.0078125</v>
      </c>
      <c r="M30" s="100">
        <v>29</v>
      </c>
    </row>
    <row r="31" spans="1:13" x14ac:dyDescent="0.3">
      <c r="A31" s="100">
        <v>45</v>
      </c>
      <c r="B31" s="103" t="s">
        <v>184</v>
      </c>
      <c r="C31" s="103" t="s">
        <v>81</v>
      </c>
      <c r="D31" s="17">
        <v>213665</v>
      </c>
      <c r="E31" s="103" t="s">
        <v>249</v>
      </c>
      <c r="F31" s="18">
        <v>32</v>
      </c>
      <c r="G31" s="101">
        <v>223044</v>
      </c>
      <c r="H31" s="100" t="s">
        <v>252</v>
      </c>
      <c r="I31" s="100">
        <v>0</v>
      </c>
      <c r="J31" s="104">
        <v>45114</v>
      </c>
      <c r="K31" s="100" t="s">
        <v>253</v>
      </c>
      <c r="L31" s="106">
        <v>45114.007835648146</v>
      </c>
      <c r="M31" s="100">
        <v>30</v>
      </c>
    </row>
    <row r="32" spans="1:13" x14ac:dyDescent="0.3">
      <c r="A32" s="100">
        <v>46</v>
      </c>
      <c r="B32" s="103" t="s">
        <v>184</v>
      </c>
      <c r="C32" s="103" t="s">
        <v>81</v>
      </c>
      <c r="D32" s="17">
        <v>213665</v>
      </c>
      <c r="E32" s="103" t="s">
        <v>254</v>
      </c>
      <c r="F32" s="18">
        <v>17</v>
      </c>
      <c r="G32" s="101">
        <v>202290</v>
      </c>
      <c r="H32" s="100" t="s">
        <v>255</v>
      </c>
      <c r="I32" s="100">
        <v>1</v>
      </c>
      <c r="J32" s="104">
        <v>45114</v>
      </c>
      <c r="K32" s="100" t="s">
        <v>256</v>
      </c>
      <c r="L32" s="106">
        <v>45114.008796296293</v>
      </c>
      <c r="M32" s="100">
        <v>31</v>
      </c>
    </row>
    <row r="33" spans="1:13" x14ac:dyDescent="0.3">
      <c r="A33" s="100">
        <v>47</v>
      </c>
      <c r="B33" s="103" t="s">
        <v>184</v>
      </c>
      <c r="C33" s="103" t="s">
        <v>81</v>
      </c>
      <c r="D33" s="17">
        <v>213665</v>
      </c>
      <c r="E33" s="103" t="s">
        <v>257</v>
      </c>
      <c r="F33" s="18">
        <v>22</v>
      </c>
      <c r="G33" s="101">
        <v>213117</v>
      </c>
      <c r="H33" s="100" t="s">
        <v>258</v>
      </c>
      <c r="I33" s="100">
        <v>1</v>
      </c>
      <c r="J33" s="104">
        <v>45114</v>
      </c>
      <c r="K33" s="100" t="s">
        <v>259</v>
      </c>
      <c r="L33" s="106">
        <v>45114.011504629627</v>
      </c>
      <c r="M33" s="100">
        <v>32</v>
      </c>
    </row>
    <row r="34" spans="1:13" x14ac:dyDescent="0.3">
      <c r="A34" s="100">
        <v>48</v>
      </c>
      <c r="B34" s="103" t="s">
        <v>184</v>
      </c>
      <c r="C34" s="103" t="s">
        <v>81</v>
      </c>
      <c r="D34" s="17">
        <v>213665</v>
      </c>
      <c r="E34" s="103" t="s">
        <v>257</v>
      </c>
      <c r="F34" s="18">
        <v>22</v>
      </c>
      <c r="G34" s="101">
        <v>213117</v>
      </c>
      <c r="H34" s="100" t="s">
        <v>260</v>
      </c>
      <c r="I34" s="100">
        <v>1</v>
      </c>
      <c r="J34" s="104">
        <v>45114</v>
      </c>
      <c r="K34" s="100" t="s">
        <v>261</v>
      </c>
      <c r="L34" s="106">
        <v>45114.012303240743</v>
      </c>
      <c r="M34" s="100">
        <v>33</v>
      </c>
    </row>
    <row r="35" spans="1:13" x14ac:dyDescent="0.3">
      <c r="A35" s="100">
        <v>49</v>
      </c>
      <c r="B35" s="103" t="s">
        <v>184</v>
      </c>
      <c r="C35" s="103" t="s">
        <v>81</v>
      </c>
      <c r="D35" s="17">
        <v>213665</v>
      </c>
      <c r="E35" s="103" t="s">
        <v>257</v>
      </c>
      <c r="F35" s="18">
        <v>22</v>
      </c>
      <c r="G35" s="101">
        <v>213117</v>
      </c>
      <c r="H35" s="100" t="s">
        <v>262</v>
      </c>
      <c r="I35" s="100">
        <v>1</v>
      </c>
      <c r="J35" s="104">
        <v>45114</v>
      </c>
      <c r="K35" s="100" t="s">
        <v>263</v>
      </c>
      <c r="L35" s="106">
        <v>45114.012337962966</v>
      </c>
      <c r="M35" s="100">
        <v>34</v>
      </c>
    </row>
    <row r="36" spans="1:13" x14ac:dyDescent="0.3">
      <c r="A36" s="100">
        <v>50</v>
      </c>
      <c r="B36" s="103" t="s">
        <v>184</v>
      </c>
      <c r="C36" s="103" t="s">
        <v>81</v>
      </c>
      <c r="D36" s="17">
        <v>213665</v>
      </c>
      <c r="E36" s="103" t="s">
        <v>254</v>
      </c>
      <c r="F36" s="18">
        <v>17</v>
      </c>
      <c r="G36" s="101">
        <v>202290</v>
      </c>
      <c r="H36" s="100" t="s">
        <v>264</v>
      </c>
      <c r="I36" s="100">
        <v>2</v>
      </c>
      <c r="J36" s="104">
        <v>45114</v>
      </c>
      <c r="K36" s="100" t="s">
        <v>265</v>
      </c>
      <c r="L36" s="106">
        <v>45114.056064814817</v>
      </c>
      <c r="M36" s="100">
        <v>35</v>
      </c>
    </row>
    <row r="37" spans="1:13" x14ac:dyDescent="0.3">
      <c r="A37" s="100">
        <v>51</v>
      </c>
      <c r="B37" s="103" t="s">
        <v>184</v>
      </c>
      <c r="C37" s="103" t="s">
        <v>81</v>
      </c>
      <c r="D37" s="17">
        <v>213665</v>
      </c>
      <c r="E37" s="103" t="s">
        <v>266</v>
      </c>
      <c r="F37" s="18">
        <v>35</v>
      </c>
      <c r="G37" s="101">
        <v>223161</v>
      </c>
      <c r="H37" s="100" t="s">
        <v>267</v>
      </c>
      <c r="I37" s="100">
        <v>0</v>
      </c>
      <c r="J37" s="104">
        <v>45114</v>
      </c>
      <c r="K37" s="100" t="s">
        <v>268</v>
      </c>
      <c r="L37" s="106">
        <v>45114.062673611108</v>
      </c>
      <c r="M37" s="100">
        <v>36</v>
      </c>
    </row>
    <row r="38" spans="1:13" x14ac:dyDescent="0.3">
      <c r="A38" s="100">
        <v>52</v>
      </c>
      <c r="B38" s="103" t="s">
        <v>184</v>
      </c>
      <c r="C38" s="103" t="s">
        <v>81</v>
      </c>
      <c r="D38" s="17">
        <v>213665</v>
      </c>
      <c r="E38" s="103" t="s">
        <v>266</v>
      </c>
      <c r="F38" s="18">
        <v>35</v>
      </c>
      <c r="G38" s="101">
        <v>223161</v>
      </c>
      <c r="H38" s="100" t="s">
        <v>269</v>
      </c>
      <c r="I38" s="100">
        <v>1</v>
      </c>
      <c r="J38" s="104">
        <v>45114</v>
      </c>
      <c r="K38" s="100" t="s">
        <v>270</v>
      </c>
      <c r="L38" s="106">
        <v>45114.065393518518</v>
      </c>
      <c r="M38" s="100">
        <v>37</v>
      </c>
    </row>
    <row r="39" spans="1:13" x14ac:dyDescent="0.3">
      <c r="A39" s="100">
        <v>53</v>
      </c>
      <c r="B39" s="103" t="s">
        <v>184</v>
      </c>
      <c r="C39" s="103" t="s">
        <v>81</v>
      </c>
      <c r="D39" s="17">
        <v>213665</v>
      </c>
      <c r="E39" s="103" t="s">
        <v>266</v>
      </c>
      <c r="F39" s="18">
        <v>35</v>
      </c>
      <c r="G39" s="101">
        <v>223161</v>
      </c>
      <c r="H39" s="100" t="s">
        <v>271</v>
      </c>
      <c r="I39" s="100">
        <v>2</v>
      </c>
      <c r="J39" s="104">
        <v>45114</v>
      </c>
      <c r="K39" s="100" t="s">
        <v>272</v>
      </c>
      <c r="L39" s="106">
        <v>45114.105439814812</v>
      </c>
      <c r="M39" s="100">
        <v>38</v>
      </c>
    </row>
    <row r="40" spans="1:13" x14ac:dyDescent="0.3">
      <c r="A40" s="100">
        <v>54</v>
      </c>
      <c r="B40" s="103" t="s">
        <v>184</v>
      </c>
      <c r="C40" s="103" t="s">
        <v>81</v>
      </c>
      <c r="D40" s="17">
        <v>213665</v>
      </c>
      <c r="E40" s="103" t="s">
        <v>273</v>
      </c>
      <c r="F40" s="18">
        <v>34</v>
      </c>
      <c r="G40" s="101">
        <v>223148</v>
      </c>
      <c r="H40" s="100" t="s">
        <v>274</v>
      </c>
      <c r="I40" s="100">
        <v>2</v>
      </c>
      <c r="J40" s="104">
        <v>45114</v>
      </c>
      <c r="K40" s="100" t="s">
        <v>275</v>
      </c>
      <c r="L40" s="106">
        <v>45114.130046296297</v>
      </c>
      <c r="M40" s="100">
        <v>39</v>
      </c>
    </row>
    <row r="41" spans="1:13" x14ac:dyDescent="0.3">
      <c r="A41" s="100">
        <v>55</v>
      </c>
      <c r="B41" s="103" t="s">
        <v>184</v>
      </c>
      <c r="C41" s="103" t="s">
        <v>81</v>
      </c>
      <c r="D41" s="17">
        <v>213665</v>
      </c>
      <c r="E41" s="103" t="s">
        <v>273</v>
      </c>
      <c r="F41" s="18">
        <v>34</v>
      </c>
      <c r="G41" s="101">
        <v>223148</v>
      </c>
      <c r="H41" s="100" t="s">
        <v>276</v>
      </c>
      <c r="I41" s="100">
        <v>1</v>
      </c>
      <c r="J41" s="104">
        <v>45114</v>
      </c>
      <c r="K41" s="100" t="s">
        <v>277</v>
      </c>
      <c r="L41" s="106">
        <v>45114.131238425929</v>
      </c>
      <c r="M41" s="100">
        <v>40</v>
      </c>
    </row>
    <row r="42" spans="1:13" x14ac:dyDescent="0.3">
      <c r="A42" s="100">
        <v>56</v>
      </c>
      <c r="B42" s="103" t="s">
        <v>184</v>
      </c>
      <c r="C42" s="103" t="s">
        <v>81</v>
      </c>
      <c r="D42" s="17">
        <v>213665</v>
      </c>
      <c r="E42" s="103" t="s">
        <v>273</v>
      </c>
      <c r="F42" s="18">
        <v>34</v>
      </c>
      <c r="G42" s="101">
        <v>223148</v>
      </c>
      <c r="H42" s="100" t="s">
        <v>278</v>
      </c>
      <c r="I42" s="100">
        <v>1</v>
      </c>
      <c r="J42" s="104">
        <v>45114</v>
      </c>
      <c r="K42" s="100" t="s">
        <v>279</v>
      </c>
      <c r="L42" s="106">
        <v>45114.131284722222</v>
      </c>
      <c r="M42" s="100">
        <v>41</v>
      </c>
    </row>
    <row r="43" spans="1:13" x14ac:dyDescent="0.3">
      <c r="A43" s="100">
        <v>57</v>
      </c>
      <c r="B43" s="103" t="s">
        <v>184</v>
      </c>
      <c r="C43" s="103" t="s">
        <v>81</v>
      </c>
      <c r="D43" s="17">
        <v>213665</v>
      </c>
      <c r="E43" s="103" t="s">
        <v>266</v>
      </c>
      <c r="F43" s="18">
        <v>35</v>
      </c>
      <c r="G43" s="101">
        <v>223161</v>
      </c>
      <c r="H43" s="100" t="s">
        <v>280</v>
      </c>
      <c r="I43" s="100">
        <v>0</v>
      </c>
      <c r="J43" s="104">
        <v>45114</v>
      </c>
      <c r="K43" s="100" t="s">
        <v>281</v>
      </c>
      <c r="L43" s="106">
        <v>45114.146064814813</v>
      </c>
      <c r="M43" s="100">
        <v>42</v>
      </c>
    </row>
    <row r="44" spans="1:13" x14ac:dyDescent="0.3">
      <c r="A44" s="100">
        <v>58</v>
      </c>
      <c r="B44" s="103" t="s">
        <v>184</v>
      </c>
      <c r="C44" s="103" t="s">
        <v>81</v>
      </c>
      <c r="D44" s="17">
        <v>213665</v>
      </c>
      <c r="E44" s="103" t="s">
        <v>266</v>
      </c>
      <c r="F44" s="18">
        <v>35</v>
      </c>
      <c r="G44" s="101">
        <v>223161</v>
      </c>
      <c r="H44" s="100" t="s">
        <v>282</v>
      </c>
      <c r="I44" s="100">
        <v>0</v>
      </c>
      <c r="J44" s="104">
        <v>45114</v>
      </c>
      <c r="K44" s="100" t="s">
        <v>283</v>
      </c>
      <c r="L44" s="106">
        <v>45114.150682870371</v>
      </c>
      <c r="M44" s="100">
        <v>43</v>
      </c>
    </row>
    <row r="45" spans="1:13" x14ac:dyDescent="0.3">
      <c r="A45" s="100">
        <v>59</v>
      </c>
      <c r="B45" s="103" t="s">
        <v>184</v>
      </c>
      <c r="C45" s="103" t="s">
        <v>81</v>
      </c>
      <c r="D45" s="17">
        <v>213665</v>
      </c>
      <c r="E45" s="103" t="s">
        <v>266</v>
      </c>
      <c r="F45" s="18">
        <v>35</v>
      </c>
      <c r="G45" s="101">
        <v>223161</v>
      </c>
      <c r="H45" s="100" t="s">
        <v>284</v>
      </c>
      <c r="I45" s="100">
        <v>1</v>
      </c>
      <c r="J45" s="104">
        <v>45114</v>
      </c>
      <c r="K45" s="100" t="s">
        <v>285</v>
      </c>
      <c r="L45" s="106">
        <v>45114.151504629626</v>
      </c>
      <c r="M45" s="100">
        <v>44</v>
      </c>
    </row>
    <row r="46" spans="1:13" x14ac:dyDescent="0.3">
      <c r="A46" s="100">
        <v>60</v>
      </c>
      <c r="B46" s="103" t="s">
        <v>184</v>
      </c>
      <c r="C46" s="103" t="s">
        <v>81</v>
      </c>
      <c r="D46" s="17">
        <v>213665</v>
      </c>
      <c r="E46" s="103" t="s">
        <v>266</v>
      </c>
      <c r="F46" s="18">
        <v>35</v>
      </c>
      <c r="G46" s="101">
        <v>223161</v>
      </c>
      <c r="H46" s="100" t="s">
        <v>286</v>
      </c>
      <c r="I46" s="100">
        <v>1</v>
      </c>
      <c r="J46" s="104">
        <v>45114</v>
      </c>
      <c r="K46" s="100" t="s">
        <v>287</v>
      </c>
      <c r="L46" s="106">
        <v>45114.15152777778</v>
      </c>
      <c r="M46" s="100">
        <v>45</v>
      </c>
    </row>
    <row r="47" spans="1:13" x14ac:dyDescent="0.3">
      <c r="A47" s="100">
        <v>61</v>
      </c>
      <c r="B47" s="103" t="s">
        <v>184</v>
      </c>
      <c r="C47" s="103" t="s">
        <v>81</v>
      </c>
      <c r="D47" s="17">
        <v>213665</v>
      </c>
      <c r="E47" s="103" t="s">
        <v>273</v>
      </c>
      <c r="F47" s="18">
        <v>34</v>
      </c>
      <c r="G47" s="101">
        <v>223148</v>
      </c>
      <c r="H47" s="100" t="s">
        <v>288</v>
      </c>
      <c r="I47" s="100">
        <v>1</v>
      </c>
      <c r="J47" s="104">
        <v>45114</v>
      </c>
      <c r="K47" s="100" t="s">
        <v>289</v>
      </c>
      <c r="L47" s="106">
        <v>45114.152418981481</v>
      </c>
      <c r="M47" s="100">
        <v>46</v>
      </c>
    </row>
    <row r="48" spans="1:13" x14ac:dyDescent="0.3">
      <c r="A48" s="100">
        <v>62</v>
      </c>
      <c r="B48" s="103" t="s">
        <v>184</v>
      </c>
      <c r="C48" s="103" t="s">
        <v>81</v>
      </c>
      <c r="D48" s="17">
        <v>213665</v>
      </c>
      <c r="E48" s="103" t="s">
        <v>266</v>
      </c>
      <c r="F48" s="18">
        <v>35</v>
      </c>
      <c r="G48" s="101">
        <v>223161</v>
      </c>
      <c r="H48" s="100" t="s">
        <v>290</v>
      </c>
      <c r="I48" s="100">
        <v>1</v>
      </c>
      <c r="J48" s="104">
        <v>45114</v>
      </c>
      <c r="K48" s="100" t="s">
        <v>291</v>
      </c>
      <c r="L48" s="106">
        <v>45114.153240740743</v>
      </c>
      <c r="M48" s="100">
        <v>47</v>
      </c>
    </row>
    <row r="49" spans="1:13" x14ac:dyDescent="0.3">
      <c r="A49" s="100">
        <v>63</v>
      </c>
      <c r="B49" s="103" t="s">
        <v>184</v>
      </c>
      <c r="C49" s="103" t="s">
        <v>81</v>
      </c>
      <c r="D49" s="17">
        <v>213665</v>
      </c>
      <c r="E49" s="103" t="s">
        <v>266</v>
      </c>
      <c r="F49" s="18">
        <v>35</v>
      </c>
      <c r="G49" s="101">
        <v>223161</v>
      </c>
      <c r="H49" s="100" t="s">
        <v>292</v>
      </c>
      <c r="I49" s="100">
        <v>2</v>
      </c>
      <c r="J49" s="104">
        <v>45114</v>
      </c>
      <c r="K49" s="100" t="s">
        <v>293</v>
      </c>
      <c r="L49" s="106">
        <v>45114.154363425929</v>
      </c>
      <c r="M49" s="100">
        <v>48</v>
      </c>
    </row>
    <row r="50" spans="1:13" x14ac:dyDescent="0.3">
      <c r="A50" s="100">
        <v>64</v>
      </c>
      <c r="B50" s="103" t="s">
        <v>184</v>
      </c>
      <c r="C50" s="103" t="s">
        <v>81</v>
      </c>
      <c r="D50" s="17">
        <v>213665</v>
      </c>
      <c r="E50" s="103" t="s">
        <v>266</v>
      </c>
      <c r="F50" s="18">
        <v>35</v>
      </c>
      <c r="G50" s="101">
        <v>223161</v>
      </c>
      <c r="H50" s="100" t="s">
        <v>294</v>
      </c>
      <c r="I50" s="100">
        <v>2</v>
      </c>
      <c r="J50" s="104">
        <v>45114</v>
      </c>
      <c r="K50" s="100" t="s">
        <v>295</v>
      </c>
      <c r="L50" s="106">
        <v>45114.154386574075</v>
      </c>
      <c r="M50" s="100">
        <v>49</v>
      </c>
    </row>
    <row r="51" spans="1:13" x14ac:dyDescent="0.3">
      <c r="A51" s="100">
        <v>65</v>
      </c>
      <c r="B51" s="103" t="s">
        <v>184</v>
      </c>
      <c r="C51" s="103" t="s">
        <v>81</v>
      </c>
      <c r="D51" s="17">
        <v>213665</v>
      </c>
      <c r="E51" s="103" t="s">
        <v>266</v>
      </c>
      <c r="F51" s="18">
        <v>35</v>
      </c>
      <c r="G51" s="101">
        <v>223161</v>
      </c>
      <c r="H51" s="100" t="s">
        <v>296</v>
      </c>
      <c r="I51" s="100">
        <v>2</v>
      </c>
      <c r="J51" s="104">
        <v>45114</v>
      </c>
      <c r="K51" s="100" t="s">
        <v>297</v>
      </c>
      <c r="L51" s="106">
        <v>45114.155428240738</v>
      </c>
      <c r="M51" s="100">
        <v>50</v>
      </c>
    </row>
    <row r="52" spans="1:13" x14ac:dyDescent="0.3">
      <c r="A52" s="100">
        <v>66</v>
      </c>
      <c r="B52" s="103" t="s">
        <v>184</v>
      </c>
      <c r="C52" s="103" t="s">
        <v>81</v>
      </c>
      <c r="D52" s="17">
        <v>213665</v>
      </c>
      <c r="E52" s="103" t="s">
        <v>266</v>
      </c>
      <c r="F52" s="18">
        <v>35</v>
      </c>
      <c r="G52" s="101">
        <v>223161</v>
      </c>
      <c r="H52" s="100" t="s">
        <v>298</v>
      </c>
      <c r="I52" s="100">
        <v>1</v>
      </c>
      <c r="J52" s="104">
        <v>45114</v>
      </c>
      <c r="K52" s="100" t="s">
        <v>299</v>
      </c>
      <c r="L52" s="106">
        <v>45114.157465277778</v>
      </c>
      <c r="M52" s="100">
        <v>51</v>
      </c>
    </row>
    <row r="53" spans="1:13" x14ac:dyDescent="0.3">
      <c r="A53" s="100">
        <v>67</v>
      </c>
      <c r="B53" s="103" t="s">
        <v>184</v>
      </c>
      <c r="C53" s="103" t="s">
        <v>81</v>
      </c>
      <c r="D53" s="17">
        <v>213665</v>
      </c>
      <c r="E53" s="103" t="s">
        <v>266</v>
      </c>
      <c r="F53" s="18">
        <v>35</v>
      </c>
      <c r="G53" s="101">
        <v>223161</v>
      </c>
      <c r="H53" s="100" t="s">
        <v>300</v>
      </c>
      <c r="I53" s="100">
        <v>1</v>
      </c>
      <c r="J53" s="104">
        <v>45114</v>
      </c>
      <c r="K53" s="100" t="s">
        <v>301</v>
      </c>
      <c r="L53" s="106">
        <v>45114.159884259258</v>
      </c>
      <c r="M53" s="100">
        <v>52</v>
      </c>
    </row>
    <row r="54" spans="1:13" x14ac:dyDescent="0.3">
      <c r="A54" s="100">
        <v>68</v>
      </c>
      <c r="B54" s="103" t="s">
        <v>184</v>
      </c>
      <c r="C54" s="103" t="s">
        <v>81</v>
      </c>
      <c r="D54" s="17">
        <v>213665</v>
      </c>
      <c r="E54" s="103" t="s">
        <v>266</v>
      </c>
      <c r="F54" s="18">
        <v>35</v>
      </c>
      <c r="G54" s="101">
        <v>223161</v>
      </c>
      <c r="H54" s="100" t="s">
        <v>302</v>
      </c>
      <c r="I54" s="100">
        <v>2</v>
      </c>
      <c r="J54" s="104">
        <v>45114</v>
      </c>
      <c r="K54" s="100" t="s">
        <v>303</v>
      </c>
      <c r="L54" s="106">
        <v>45114.162395833337</v>
      </c>
      <c r="M54" s="100">
        <v>53</v>
      </c>
    </row>
    <row r="55" spans="1:13" x14ac:dyDescent="0.3">
      <c r="A55" s="100">
        <v>69</v>
      </c>
      <c r="B55" s="103" t="s">
        <v>184</v>
      </c>
      <c r="C55" s="103" t="s">
        <v>81</v>
      </c>
      <c r="D55" s="17">
        <v>213665</v>
      </c>
      <c r="E55" s="103" t="s">
        <v>266</v>
      </c>
      <c r="F55" s="18">
        <v>35</v>
      </c>
      <c r="G55" s="101">
        <v>223161</v>
      </c>
      <c r="H55" s="100" t="s">
        <v>304</v>
      </c>
      <c r="I55" s="100">
        <v>2</v>
      </c>
      <c r="J55" s="104">
        <v>45114</v>
      </c>
      <c r="K55" s="100" t="s">
        <v>305</v>
      </c>
      <c r="L55" s="106">
        <v>45114.163090277776</v>
      </c>
      <c r="M55" s="100">
        <v>54</v>
      </c>
    </row>
    <row r="56" spans="1:13" x14ac:dyDescent="0.3">
      <c r="A56" s="100">
        <v>70</v>
      </c>
      <c r="B56" s="103" t="s">
        <v>184</v>
      </c>
      <c r="C56" s="103" t="s">
        <v>81</v>
      </c>
      <c r="D56" s="17">
        <v>213665</v>
      </c>
      <c r="E56" s="103" t="s">
        <v>266</v>
      </c>
      <c r="F56" s="18">
        <v>35</v>
      </c>
      <c r="G56" s="101">
        <v>223161</v>
      </c>
      <c r="H56" s="100" t="s">
        <v>306</v>
      </c>
      <c r="I56" s="100">
        <v>2</v>
      </c>
      <c r="J56" s="104">
        <v>45114</v>
      </c>
      <c r="K56" s="100" t="s">
        <v>307</v>
      </c>
      <c r="L56" s="106">
        <v>45114.163518518515</v>
      </c>
      <c r="M56" s="100">
        <v>55</v>
      </c>
    </row>
    <row r="57" spans="1:13" x14ac:dyDescent="0.3">
      <c r="A57" s="100">
        <v>71</v>
      </c>
      <c r="B57" s="103" t="s">
        <v>184</v>
      </c>
      <c r="C57" s="103" t="s">
        <v>81</v>
      </c>
      <c r="D57" s="17">
        <v>213665</v>
      </c>
      <c r="E57" s="103" t="s">
        <v>232</v>
      </c>
      <c r="F57" s="18">
        <v>5</v>
      </c>
      <c r="G57" s="101">
        <v>192072</v>
      </c>
      <c r="H57" s="100" t="s">
        <v>308</v>
      </c>
      <c r="I57" s="100">
        <v>1</v>
      </c>
      <c r="J57" s="104">
        <v>45114</v>
      </c>
      <c r="K57" s="100" t="s">
        <v>309</v>
      </c>
      <c r="L57" s="106">
        <v>45114.185162037036</v>
      </c>
      <c r="M57" s="100">
        <v>56</v>
      </c>
    </row>
    <row r="58" spans="1:13" x14ac:dyDescent="0.3">
      <c r="A58" s="100">
        <v>72</v>
      </c>
      <c r="B58" s="103" t="s">
        <v>184</v>
      </c>
      <c r="C58" s="103" t="s">
        <v>81</v>
      </c>
      <c r="D58" s="17">
        <v>213665</v>
      </c>
      <c r="E58" s="103" t="s">
        <v>232</v>
      </c>
      <c r="F58" s="18">
        <v>5</v>
      </c>
      <c r="G58" s="101">
        <v>192072</v>
      </c>
      <c r="H58" s="100" t="s">
        <v>310</v>
      </c>
      <c r="I58" s="100">
        <v>2</v>
      </c>
      <c r="J58" s="104">
        <v>45114</v>
      </c>
      <c r="K58" s="100" t="s">
        <v>311</v>
      </c>
      <c r="L58" s="106">
        <v>45114.51599537037</v>
      </c>
      <c r="M58" s="100">
        <v>57</v>
      </c>
    </row>
    <row r="59" spans="1:13" x14ac:dyDescent="0.3">
      <c r="A59" s="100">
        <v>73</v>
      </c>
      <c r="B59" s="103" t="s">
        <v>184</v>
      </c>
      <c r="C59" s="103" t="s">
        <v>81</v>
      </c>
      <c r="D59" s="17">
        <v>213665</v>
      </c>
      <c r="E59" s="103" t="s">
        <v>244</v>
      </c>
      <c r="F59" s="18">
        <v>8</v>
      </c>
      <c r="G59" s="101">
        <v>192249</v>
      </c>
      <c r="H59" s="100" t="s">
        <v>312</v>
      </c>
      <c r="I59" s="100">
        <v>2</v>
      </c>
      <c r="J59" s="104">
        <v>45114</v>
      </c>
      <c r="K59" s="100" t="s">
        <v>313</v>
      </c>
      <c r="L59" s="106">
        <v>45114.64508101852</v>
      </c>
      <c r="M59" s="100">
        <v>58</v>
      </c>
    </row>
    <row r="60" spans="1:13" x14ac:dyDescent="0.3">
      <c r="A60" s="100">
        <v>74</v>
      </c>
      <c r="B60" s="103" t="s">
        <v>184</v>
      </c>
      <c r="C60" s="103" t="s">
        <v>81</v>
      </c>
      <c r="D60" s="17">
        <v>213665</v>
      </c>
      <c r="E60" s="103" t="s">
        <v>244</v>
      </c>
      <c r="F60" s="18">
        <v>8</v>
      </c>
      <c r="G60" s="101">
        <v>192249</v>
      </c>
      <c r="H60" s="100" t="s">
        <v>314</v>
      </c>
      <c r="I60" s="100">
        <v>0</v>
      </c>
      <c r="J60" s="104">
        <v>45114</v>
      </c>
      <c r="K60" s="100" t="s">
        <v>315</v>
      </c>
      <c r="L60" s="106">
        <v>45114.645462962966</v>
      </c>
      <c r="M60" s="100">
        <v>59</v>
      </c>
    </row>
    <row r="61" spans="1:13" x14ac:dyDescent="0.3">
      <c r="A61" s="100">
        <v>75</v>
      </c>
      <c r="B61" s="103" t="s">
        <v>184</v>
      </c>
      <c r="C61" s="103" t="s">
        <v>81</v>
      </c>
      <c r="D61" s="17">
        <v>213665</v>
      </c>
      <c r="E61" s="103" t="s">
        <v>244</v>
      </c>
      <c r="F61" s="18">
        <v>8</v>
      </c>
      <c r="G61" s="101">
        <v>192249</v>
      </c>
      <c r="H61" s="100" t="s">
        <v>316</v>
      </c>
      <c r="I61" s="100">
        <v>1</v>
      </c>
      <c r="J61" s="104">
        <v>45114</v>
      </c>
      <c r="K61" s="100" t="s">
        <v>317</v>
      </c>
      <c r="L61" s="106">
        <v>45114.645694444444</v>
      </c>
      <c r="M61" s="100">
        <v>60</v>
      </c>
    </row>
    <row r="62" spans="1:13" x14ac:dyDescent="0.3">
      <c r="A62" s="100">
        <v>76</v>
      </c>
      <c r="B62" s="103" t="s">
        <v>184</v>
      </c>
      <c r="C62" s="103" t="s">
        <v>81</v>
      </c>
      <c r="D62" s="17">
        <v>213665</v>
      </c>
      <c r="E62" s="103" t="s">
        <v>244</v>
      </c>
      <c r="F62" s="18">
        <v>8</v>
      </c>
      <c r="G62" s="101">
        <v>192249</v>
      </c>
      <c r="H62" s="100" t="s">
        <v>318</v>
      </c>
      <c r="I62" s="100">
        <v>1</v>
      </c>
      <c r="J62" s="104">
        <v>45114</v>
      </c>
      <c r="K62" s="100" t="s">
        <v>319</v>
      </c>
      <c r="L62" s="106">
        <v>45114.645775462966</v>
      </c>
      <c r="M62" s="100">
        <v>61</v>
      </c>
    </row>
    <row r="63" spans="1:13" x14ac:dyDescent="0.3">
      <c r="A63" s="100">
        <v>77</v>
      </c>
      <c r="B63" s="103" t="s">
        <v>184</v>
      </c>
      <c r="C63" s="103" t="s">
        <v>81</v>
      </c>
      <c r="D63" s="17">
        <v>213665</v>
      </c>
      <c r="E63" s="103" t="s">
        <v>244</v>
      </c>
      <c r="F63" s="18">
        <v>8</v>
      </c>
      <c r="G63" s="101">
        <v>192249</v>
      </c>
      <c r="H63" s="100" t="s">
        <v>320</v>
      </c>
      <c r="I63" s="100">
        <v>0</v>
      </c>
      <c r="J63" s="104">
        <v>45114</v>
      </c>
      <c r="K63" s="100" t="s">
        <v>321</v>
      </c>
      <c r="L63" s="106">
        <v>45114.646331018521</v>
      </c>
      <c r="M63" s="100">
        <v>62</v>
      </c>
    </row>
    <row r="64" spans="1:13" x14ac:dyDescent="0.3">
      <c r="A64" s="100">
        <v>78</v>
      </c>
      <c r="B64" s="103" t="s">
        <v>184</v>
      </c>
      <c r="C64" s="103" t="s">
        <v>81</v>
      </c>
      <c r="D64" s="17">
        <v>213665</v>
      </c>
      <c r="E64" s="103" t="s">
        <v>244</v>
      </c>
      <c r="F64" s="18">
        <v>8</v>
      </c>
      <c r="G64" s="101">
        <v>192249</v>
      </c>
      <c r="H64" s="100" t="s">
        <v>322</v>
      </c>
      <c r="I64" s="100">
        <v>0</v>
      </c>
      <c r="J64" s="104">
        <v>45114</v>
      </c>
      <c r="K64" s="100" t="s">
        <v>323</v>
      </c>
      <c r="L64" s="106">
        <v>45114.64634259259</v>
      </c>
      <c r="M64" s="100">
        <v>63</v>
      </c>
    </row>
    <row r="65" spans="1:13" x14ac:dyDescent="0.3">
      <c r="A65" s="100">
        <v>79</v>
      </c>
      <c r="B65" s="103" t="s">
        <v>184</v>
      </c>
      <c r="C65" s="103" t="s">
        <v>81</v>
      </c>
      <c r="D65" s="17">
        <v>213665</v>
      </c>
      <c r="E65" s="103" t="s">
        <v>244</v>
      </c>
      <c r="F65" s="18">
        <v>8</v>
      </c>
      <c r="G65" s="101">
        <v>192249</v>
      </c>
      <c r="H65" s="100" t="s">
        <v>324</v>
      </c>
      <c r="I65" s="100">
        <v>2</v>
      </c>
      <c r="J65" s="104">
        <v>45114</v>
      </c>
      <c r="K65" s="100" t="s">
        <v>325</v>
      </c>
      <c r="L65" s="106">
        <v>45114.646782407406</v>
      </c>
      <c r="M65" s="100">
        <v>64</v>
      </c>
    </row>
    <row r="66" spans="1:13" x14ac:dyDescent="0.3">
      <c r="A66" s="100">
        <v>80</v>
      </c>
      <c r="B66" s="103" t="s">
        <v>184</v>
      </c>
      <c r="C66" s="103" t="s">
        <v>81</v>
      </c>
      <c r="D66" s="17">
        <v>213665</v>
      </c>
      <c r="E66" s="103" t="s">
        <v>244</v>
      </c>
      <c r="F66" s="18">
        <v>8</v>
      </c>
      <c r="G66" s="101">
        <v>192249</v>
      </c>
      <c r="H66" s="100" t="s">
        <v>326</v>
      </c>
      <c r="I66" s="100">
        <v>2</v>
      </c>
      <c r="J66" s="104">
        <v>45114</v>
      </c>
      <c r="K66" s="100" t="s">
        <v>327</v>
      </c>
      <c r="L66" s="106">
        <v>45114.646990740737</v>
      </c>
      <c r="M66" s="100">
        <v>65</v>
      </c>
    </row>
    <row r="67" spans="1:13" x14ac:dyDescent="0.3">
      <c r="A67" s="100">
        <v>81</v>
      </c>
      <c r="B67" s="103" t="s">
        <v>184</v>
      </c>
      <c r="C67" s="103" t="s">
        <v>81</v>
      </c>
      <c r="D67" s="17">
        <v>213665</v>
      </c>
      <c r="E67" s="103" t="s">
        <v>244</v>
      </c>
      <c r="F67" s="18">
        <v>8</v>
      </c>
      <c r="G67" s="101">
        <v>192249</v>
      </c>
      <c r="H67" s="100" t="s">
        <v>328</v>
      </c>
      <c r="I67" s="100">
        <v>0</v>
      </c>
      <c r="J67" s="104">
        <v>45114</v>
      </c>
      <c r="K67" s="100" t="s">
        <v>329</v>
      </c>
      <c r="L67" s="106">
        <v>45114.647256944445</v>
      </c>
      <c r="M67" s="100">
        <v>66</v>
      </c>
    </row>
    <row r="68" spans="1:13" x14ac:dyDescent="0.3">
      <c r="A68" s="100">
        <v>82</v>
      </c>
      <c r="B68" s="103" t="s">
        <v>184</v>
      </c>
      <c r="C68" s="103" t="s">
        <v>81</v>
      </c>
      <c r="D68" s="17">
        <v>213665</v>
      </c>
      <c r="E68" s="103" t="s">
        <v>244</v>
      </c>
      <c r="F68" s="18">
        <v>8</v>
      </c>
      <c r="G68" s="101">
        <v>192249</v>
      </c>
      <c r="H68" s="100" t="s">
        <v>330</v>
      </c>
      <c r="I68" s="100">
        <v>1</v>
      </c>
      <c r="J68" s="104">
        <v>45114</v>
      </c>
      <c r="K68" s="100" t="s">
        <v>331</v>
      </c>
      <c r="L68" s="106">
        <v>45114.647673611114</v>
      </c>
      <c r="M68" s="100">
        <v>67</v>
      </c>
    </row>
    <row r="69" spans="1:13" x14ac:dyDescent="0.3">
      <c r="A69" s="100">
        <v>83</v>
      </c>
      <c r="B69" s="103" t="s">
        <v>184</v>
      </c>
      <c r="C69" s="103" t="s">
        <v>81</v>
      </c>
      <c r="D69" s="17">
        <v>213665</v>
      </c>
      <c r="E69" s="103" t="s">
        <v>244</v>
      </c>
      <c r="F69" s="18">
        <v>8</v>
      </c>
      <c r="G69" s="101">
        <v>192249</v>
      </c>
      <c r="H69" s="100" t="s">
        <v>332</v>
      </c>
      <c r="I69" s="100">
        <v>2</v>
      </c>
      <c r="J69" s="104">
        <v>45114</v>
      </c>
      <c r="K69" s="100" t="s">
        <v>333</v>
      </c>
      <c r="L69" s="106">
        <v>45114.647696759261</v>
      </c>
      <c r="M69" s="100">
        <v>68</v>
      </c>
    </row>
    <row r="70" spans="1:13" x14ac:dyDescent="0.3">
      <c r="A70" s="100">
        <v>84</v>
      </c>
      <c r="B70" s="103" t="s">
        <v>184</v>
      </c>
      <c r="C70" s="103" t="s">
        <v>81</v>
      </c>
      <c r="D70" s="17">
        <v>213665</v>
      </c>
      <c r="E70" s="103" t="s">
        <v>244</v>
      </c>
      <c r="F70" s="18">
        <v>8</v>
      </c>
      <c r="G70" s="101">
        <v>192249</v>
      </c>
      <c r="H70" s="100" t="s">
        <v>334</v>
      </c>
      <c r="I70" s="100">
        <v>2</v>
      </c>
      <c r="J70" s="104">
        <v>45114</v>
      </c>
      <c r="K70" s="100" t="s">
        <v>335</v>
      </c>
      <c r="L70" s="106">
        <v>45114.647881944446</v>
      </c>
      <c r="M70" s="100">
        <v>69</v>
      </c>
    </row>
    <row r="71" spans="1:13" x14ac:dyDescent="0.3">
      <c r="A71" s="100">
        <v>85</v>
      </c>
      <c r="B71" s="103" t="s">
        <v>184</v>
      </c>
      <c r="C71" s="103" t="s">
        <v>81</v>
      </c>
      <c r="D71" s="17">
        <v>213665</v>
      </c>
      <c r="E71" s="103" t="s">
        <v>244</v>
      </c>
      <c r="F71" s="18">
        <v>8</v>
      </c>
      <c r="G71" s="101">
        <v>192249</v>
      </c>
      <c r="H71" s="100" t="s">
        <v>336</v>
      </c>
      <c r="I71" s="100">
        <v>2</v>
      </c>
      <c r="J71" s="104">
        <v>45114</v>
      </c>
      <c r="K71" s="100" t="s">
        <v>337</v>
      </c>
      <c r="L71" s="106">
        <v>45114.648321759261</v>
      </c>
      <c r="M71" s="100">
        <v>70</v>
      </c>
    </row>
    <row r="72" spans="1:13" x14ac:dyDescent="0.3">
      <c r="A72" s="100">
        <v>86</v>
      </c>
      <c r="B72" s="103" t="s">
        <v>184</v>
      </c>
      <c r="C72" s="103" t="s">
        <v>81</v>
      </c>
      <c r="D72" s="17">
        <v>213665</v>
      </c>
      <c r="E72" s="103" t="s">
        <v>244</v>
      </c>
      <c r="F72" s="18">
        <v>8</v>
      </c>
      <c r="G72" s="101">
        <v>192249</v>
      </c>
      <c r="H72" s="100" t="s">
        <v>338</v>
      </c>
      <c r="I72" s="100">
        <v>2</v>
      </c>
      <c r="J72" s="104">
        <v>45114</v>
      </c>
      <c r="K72" s="100" t="s">
        <v>339</v>
      </c>
      <c r="L72" s="106">
        <v>45114.6484837963</v>
      </c>
      <c r="M72" s="100">
        <v>71</v>
      </c>
    </row>
    <row r="73" spans="1:13" x14ac:dyDescent="0.3">
      <c r="A73" s="100">
        <v>87</v>
      </c>
      <c r="B73" s="103" t="s">
        <v>184</v>
      </c>
      <c r="C73" s="103" t="s">
        <v>81</v>
      </c>
      <c r="D73" s="17">
        <v>213665</v>
      </c>
      <c r="E73" s="103" t="s">
        <v>244</v>
      </c>
      <c r="F73" s="18">
        <v>8</v>
      </c>
      <c r="G73" s="101">
        <v>192249</v>
      </c>
      <c r="H73" s="100" t="s">
        <v>340</v>
      </c>
      <c r="I73" s="100">
        <v>1</v>
      </c>
      <c r="J73" s="104">
        <v>45114</v>
      </c>
      <c r="K73" s="100" t="s">
        <v>341</v>
      </c>
      <c r="L73" s="106">
        <v>45114.649189814816</v>
      </c>
      <c r="M73" s="100">
        <v>72</v>
      </c>
    </row>
    <row r="74" spans="1:13" x14ac:dyDescent="0.3">
      <c r="A74" s="100">
        <v>88</v>
      </c>
      <c r="B74" s="103" t="s">
        <v>184</v>
      </c>
      <c r="C74" s="103" t="s">
        <v>81</v>
      </c>
      <c r="D74" s="17">
        <v>213665</v>
      </c>
      <c r="E74" s="103" t="s">
        <v>244</v>
      </c>
      <c r="F74" s="18">
        <v>8</v>
      </c>
      <c r="G74" s="101">
        <v>192249</v>
      </c>
      <c r="H74" s="100" t="s">
        <v>342</v>
      </c>
      <c r="I74" s="100">
        <v>3</v>
      </c>
      <c r="J74" s="104">
        <v>45114</v>
      </c>
      <c r="K74" s="100" t="s">
        <v>343</v>
      </c>
      <c r="L74" s="106">
        <v>45114.649270833332</v>
      </c>
      <c r="M74" s="100">
        <v>73</v>
      </c>
    </row>
    <row r="75" spans="1:13" x14ac:dyDescent="0.3">
      <c r="A75" s="100">
        <v>89</v>
      </c>
      <c r="B75" s="103" t="s">
        <v>184</v>
      </c>
      <c r="C75" s="103" t="s">
        <v>81</v>
      </c>
      <c r="D75" s="17">
        <v>213665</v>
      </c>
      <c r="E75" s="103" t="s">
        <v>344</v>
      </c>
      <c r="F75" s="18">
        <v>13</v>
      </c>
      <c r="G75" s="101">
        <v>202116</v>
      </c>
      <c r="H75" s="100" t="s">
        <v>345</v>
      </c>
      <c r="I75" s="100">
        <v>0</v>
      </c>
      <c r="J75" s="104">
        <v>45114</v>
      </c>
      <c r="K75" s="100" t="s">
        <v>346</v>
      </c>
      <c r="L75" s="106">
        <v>45114.669537037036</v>
      </c>
      <c r="M75" s="100">
        <v>74</v>
      </c>
    </row>
    <row r="76" spans="1:13" x14ac:dyDescent="0.3">
      <c r="A76" s="100">
        <v>90</v>
      </c>
      <c r="B76" s="103" t="s">
        <v>184</v>
      </c>
      <c r="C76" s="103" t="s">
        <v>81</v>
      </c>
      <c r="D76" s="17">
        <v>213665</v>
      </c>
      <c r="E76" s="103" t="s">
        <v>347</v>
      </c>
      <c r="F76" s="18">
        <v>46</v>
      </c>
      <c r="G76" s="101">
        <v>223419</v>
      </c>
      <c r="H76" s="100" t="s">
        <v>348</v>
      </c>
      <c r="I76" s="100">
        <v>2</v>
      </c>
      <c r="J76" s="104">
        <v>45114</v>
      </c>
      <c r="K76" s="100" t="s">
        <v>349</v>
      </c>
      <c r="L76" s="106">
        <v>45114.743738425925</v>
      </c>
      <c r="M76" s="100">
        <v>75</v>
      </c>
    </row>
    <row r="77" spans="1:13" x14ac:dyDescent="0.3">
      <c r="A77" s="100">
        <v>91</v>
      </c>
      <c r="B77" s="103" t="s">
        <v>184</v>
      </c>
      <c r="C77" s="103" t="s">
        <v>81</v>
      </c>
      <c r="D77" s="17">
        <v>213665</v>
      </c>
      <c r="E77" s="103" t="s">
        <v>350</v>
      </c>
      <c r="F77" s="18">
        <v>25</v>
      </c>
      <c r="G77" s="101">
        <v>213254</v>
      </c>
      <c r="H77" s="100" t="s">
        <v>351</v>
      </c>
      <c r="I77" s="100">
        <v>2</v>
      </c>
      <c r="J77" s="104">
        <v>45114</v>
      </c>
      <c r="K77" s="100" t="s">
        <v>352</v>
      </c>
      <c r="L77" s="106">
        <v>45114.763611111113</v>
      </c>
      <c r="M77" s="100">
        <v>76</v>
      </c>
    </row>
    <row r="78" spans="1:13" x14ac:dyDescent="0.3">
      <c r="A78" s="100">
        <v>92</v>
      </c>
      <c r="B78" s="103" t="s">
        <v>184</v>
      </c>
      <c r="C78" s="103" t="s">
        <v>81</v>
      </c>
      <c r="D78" s="17">
        <v>213665</v>
      </c>
      <c r="E78" s="103" t="s">
        <v>353</v>
      </c>
      <c r="F78" s="18">
        <v>47</v>
      </c>
      <c r="G78" s="101">
        <v>223437</v>
      </c>
      <c r="H78" s="100" t="s">
        <v>354</v>
      </c>
      <c r="I78" s="100">
        <v>2</v>
      </c>
      <c r="J78" s="104">
        <v>45115</v>
      </c>
      <c r="K78" s="100" t="s">
        <v>355</v>
      </c>
      <c r="L78" s="106">
        <v>45115.140462962961</v>
      </c>
      <c r="M78" s="100">
        <v>77</v>
      </c>
    </row>
    <row r="79" spans="1:13" x14ac:dyDescent="0.3">
      <c r="A79" s="100">
        <v>21</v>
      </c>
      <c r="B79" s="103" t="s">
        <v>356</v>
      </c>
      <c r="C79" s="103" t="s">
        <v>357</v>
      </c>
      <c r="D79" s="99">
        <v>213777</v>
      </c>
      <c r="E79" s="103" t="s">
        <v>266</v>
      </c>
      <c r="F79" s="18">
        <v>35</v>
      </c>
      <c r="G79" s="101">
        <v>223161</v>
      </c>
      <c r="H79" s="100" t="s">
        <v>358</v>
      </c>
      <c r="I79" s="100">
        <v>1</v>
      </c>
      <c r="J79" s="104">
        <v>45111</v>
      </c>
      <c r="K79" s="100" t="s">
        <v>359</v>
      </c>
      <c r="L79" s="106">
        <v>45111.34752314815</v>
      </c>
      <c r="M79" s="100">
        <v>1</v>
      </c>
    </row>
    <row r="80" spans="1:13" x14ac:dyDescent="0.3">
      <c r="A80" s="100">
        <v>22</v>
      </c>
      <c r="B80" s="103" t="s">
        <v>356</v>
      </c>
      <c r="C80" s="103" t="s">
        <v>357</v>
      </c>
      <c r="D80" s="99">
        <v>213777</v>
      </c>
      <c r="E80" s="103" t="s">
        <v>353</v>
      </c>
      <c r="F80" s="18">
        <v>47</v>
      </c>
      <c r="G80" s="101">
        <v>223437</v>
      </c>
      <c r="H80" s="100" t="s">
        <v>360</v>
      </c>
      <c r="I80" s="100">
        <v>2</v>
      </c>
      <c r="J80" s="104">
        <v>45111</v>
      </c>
      <c r="K80" s="100" t="s">
        <v>361</v>
      </c>
      <c r="L80" s="106">
        <v>45111.357986111114</v>
      </c>
      <c r="M80" s="100">
        <v>2</v>
      </c>
    </row>
    <row r="81" spans="1:13" x14ac:dyDescent="0.3">
      <c r="A81" s="100">
        <v>23</v>
      </c>
      <c r="B81" s="103" t="s">
        <v>356</v>
      </c>
      <c r="C81" s="103" t="s">
        <v>357</v>
      </c>
      <c r="D81" s="99">
        <v>213777</v>
      </c>
      <c r="E81" s="103" t="s">
        <v>209</v>
      </c>
      <c r="F81" s="18">
        <v>12</v>
      </c>
      <c r="G81" s="101">
        <v>202053</v>
      </c>
      <c r="H81" s="100" t="s">
        <v>362</v>
      </c>
      <c r="I81" s="100">
        <v>1</v>
      </c>
      <c r="J81" s="104">
        <v>45112</v>
      </c>
      <c r="K81" s="100" t="s">
        <v>363</v>
      </c>
      <c r="L81" s="106">
        <v>45112.28324074074</v>
      </c>
      <c r="M81" s="100">
        <v>3</v>
      </c>
    </row>
    <row r="82" spans="1:13" x14ac:dyDescent="0.3">
      <c r="A82" s="100">
        <v>24</v>
      </c>
      <c r="B82" s="103" t="s">
        <v>356</v>
      </c>
      <c r="C82" s="103" t="s">
        <v>357</v>
      </c>
      <c r="D82" s="99">
        <v>213777</v>
      </c>
      <c r="E82" s="103" t="s">
        <v>209</v>
      </c>
      <c r="F82" s="18">
        <v>12</v>
      </c>
      <c r="G82" s="101">
        <v>202053</v>
      </c>
      <c r="H82" s="100" t="s">
        <v>364</v>
      </c>
      <c r="I82" s="100">
        <v>1</v>
      </c>
      <c r="J82" s="104">
        <v>45112</v>
      </c>
      <c r="K82" s="100" t="s">
        <v>365</v>
      </c>
      <c r="L82" s="106">
        <v>45112.284085648149</v>
      </c>
      <c r="M82" s="100">
        <v>4</v>
      </c>
    </row>
    <row r="83" spans="1:13" x14ac:dyDescent="0.3">
      <c r="A83" s="100">
        <v>25</v>
      </c>
      <c r="B83" s="103" t="s">
        <v>356</v>
      </c>
      <c r="C83" s="103" t="s">
        <v>357</v>
      </c>
      <c r="D83" s="99">
        <v>213777</v>
      </c>
      <c r="E83" s="103" t="s">
        <v>209</v>
      </c>
      <c r="F83" s="18">
        <v>12</v>
      </c>
      <c r="G83" s="101">
        <v>202053</v>
      </c>
      <c r="H83" s="100" t="s">
        <v>366</v>
      </c>
      <c r="I83" s="100">
        <v>2</v>
      </c>
      <c r="J83" s="104">
        <v>45112</v>
      </c>
      <c r="K83" s="100" t="s">
        <v>367</v>
      </c>
      <c r="L83" s="106">
        <v>45112.284375000003</v>
      </c>
      <c r="M83" s="100">
        <v>5</v>
      </c>
    </row>
    <row r="84" spans="1:13" x14ac:dyDescent="0.3">
      <c r="A84" s="100">
        <v>26</v>
      </c>
      <c r="B84" s="103" t="s">
        <v>356</v>
      </c>
      <c r="C84" s="103" t="s">
        <v>357</v>
      </c>
      <c r="D84" s="99">
        <v>213777</v>
      </c>
      <c r="E84" s="103" t="s">
        <v>209</v>
      </c>
      <c r="F84" s="18">
        <v>12</v>
      </c>
      <c r="G84" s="101">
        <v>202053</v>
      </c>
      <c r="H84" s="100" t="s">
        <v>368</v>
      </c>
      <c r="I84" s="100">
        <v>2</v>
      </c>
      <c r="J84" s="104">
        <v>45112</v>
      </c>
      <c r="K84" s="100" t="s">
        <v>369</v>
      </c>
      <c r="L84" s="106">
        <v>45112.284571759257</v>
      </c>
      <c r="M84" s="100">
        <v>6</v>
      </c>
    </row>
    <row r="85" spans="1:13" x14ac:dyDescent="0.3">
      <c r="A85" s="100">
        <v>27</v>
      </c>
      <c r="B85" s="103" t="s">
        <v>356</v>
      </c>
      <c r="C85" s="103" t="s">
        <v>357</v>
      </c>
      <c r="D85" s="99">
        <v>213777</v>
      </c>
      <c r="E85" s="103" t="s">
        <v>209</v>
      </c>
      <c r="F85" s="18">
        <v>12</v>
      </c>
      <c r="G85" s="101">
        <v>202053</v>
      </c>
      <c r="H85" s="100" t="s">
        <v>370</v>
      </c>
      <c r="I85" s="100">
        <v>1</v>
      </c>
      <c r="J85" s="104">
        <v>45112</v>
      </c>
      <c r="K85" s="100" t="s">
        <v>371</v>
      </c>
      <c r="L85" s="106">
        <v>45112.284826388888</v>
      </c>
      <c r="M85" s="100">
        <v>7</v>
      </c>
    </row>
    <row r="86" spans="1:13" x14ac:dyDescent="0.3">
      <c r="A86" s="100">
        <v>28</v>
      </c>
      <c r="B86" s="103" t="s">
        <v>356</v>
      </c>
      <c r="C86" s="103" t="s">
        <v>357</v>
      </c>
      <c r="D86" s="99">
        <v>213777</v>
      </c>
      <c r="E86" s="103" t="s">
        <v>209</v>
      </c>
      <c r="F86" s="18">
        <v>12</v>
      </c>
      <c r="G86" s="101">
        <v>202053</v>
      </c>
      <c r="H86" s="100" t="s">
        <v>372</v>
      </c>
      <c r="I86" s="100">
        <v>1</v>
      </c>
      <c r="J86" s="104">
        <v>45112</v>
      </c>
      <c r="K86" s="100" t="s">
        <v>373</v>
      </c>
      <c r="L86" s="106">
        <v>45112.285185185188</v>
      </c>
      <c r="M86" s="100">
        <v>8</v>
      </c>
    </row>
    <row r="87" spans="1:13" x14ac:dyDescent="0.3">
      <c r="A87" s="100">
        <v>29</v>
      </c>
      <c r="B87" s="103" t="s">
        <v>356</v>
      </c>
      <c r="C87" s="103" t="s">
        <v>357</v>
      </c>
      <c r="D87" s="99">
        <v>213777</v>
      </c>
      <c r="E87" s="103" t="s">
        <v>209</v>
      </c>
      <c r="F87" s="18">
        <v>12</v>
      </c>
      <c r="G87" s="101">
        <v>202053</v>
      </c>
      <c r="H87" s="100" t="s">
        <v>374</v>
      </c>
      <c r="I87" s="100">
        <v>2</v>
      </c>
      <c r="J87" s="104">
        <v>45112</v>
      </c>
      <c r="K87" s="100" t="s">
        <v>375</v>
      </c>
      <c r="L87" s="106">
        <v>45112.285590277781</v>
      </c>
      <c r="M87" s="100">
        <v>9</v>
      </c>
    </row>
    <row r="88" spans="1:13" x14ac:dyDescent="0.3">
      <c r="A88" s="100">
        <v>30</v>
      </c>
      <c r="B88" s="103" t="s">
        <v>356</v>
      </c>
      <c r="C88" s="103" t="s">
        <v>357</v>
      </c>
      <c r="D88" s="99">
        <v>213777</v>
      </c>
      <c r="E88" s="103" t="s">
        <v>209</v>
      </c>
      <c r="F88" s="18">
        <v>12</v>
      </c>
      <c r="G88" s="101">
        <v>202053</v>
      </c>
      <c r="H88" s="100" t="s">
        <v>376</v>
      </c>
      <c r="I88" s="100">
        <v>1</v>
      </c>
      <c r="J88" s="104">
        <v>45112</v>
      </c>
      <c r="K88" s="100" t="s">
        <v>377</v>
      </c>
      <c r="L88" s="106">
        <v>45112.285937499997</v>
      </c>
      <c r="M88" s="100">
        <v>10</v>
      </c>
    </row>
    <row r="89" spans="1:13" x14ac:dyDescent="0.3">
      <c r="A89" s="100">
        <v>31</v>
      </c>
      <c r="B89" s="103" t="s">
        <v>356</v>
      </c>
      <c r="C89" s="103" t="s">
        <v>357</v>
      </c>
      <c r="D89" s="99">
        <v>213777</v>
      </c>
      <c r="E89" s="103" t="s">
        <v>209</v>
      </c>
      <c r="F89" s="18">
        <v>12</v>
      </c>
      <c r="G89" s="101">
        <v>202053</v>
      </c>
      <c r="H89" s="100" t="s">
        <v>378</v>
      </c>
      <c r="I89" s="100">
        <v>1</v>
      </c>
      <c r="J89" s="104">
        <v>45112</v>
      </c>
      <c r="K89" s="100" t="s">
        <v>379</v>
      </c>
      <c r="L89" s="106">
        <v>45112.286643518521</v>
      </c>
      <c r="M89" s="100">
        <v>11</v>
      </c>
    </row>
    <row r="90" spans="1:13" x14ac:dyDescent="0.3">
      <c r="A90" s="100">
        <v>32</v>
      </c>
      <c r="B90" s="103" t="s">
        <v>356</v>
      </c>
      <c r="C90" s="103" t="s">
        <v>357</v>
      </c>
      <c r="D90" s="99">
        <v>213777</v>
      </c>
      <c r="E90" s="103" t="s">
        <v>209</v>
      </c>
      <c r="F90" s="18">
        <v>12</v>
      </c>
      <c r="G90" s="101">
        <v>202053</v>
      </c>
      <c r="H90" s="100" t="s">
        <v>380</v>
      </c>
      <c r="I90" s="100">
        <v>1</v>
      </c>
      <c r="J90" s="104">
        <v>45112</v>
      </c>
      <c r="K90" s="100" t="s">
        <v>381</v>
      </c>
      <c r="L90" s="106">
        <v>45112.286666666667</v>
      </c>
      <c r="M90" s="100">
        <v>12</v>
      </c>
    </row>
    <row r="91" spans="1:13" x14ac:dyDescent="0.3">
      <c r="A91" s="100">
        <v>33</v>
      </c>
      <c r="B91" s="103" t="s">
        <v>356</v>
      </c>
      <c r="C91" s="103" t="s">
        <v>357</v>
      </c>
      <c r="D91" s="99">
        <v>213777</v>
      </c>
      <c r="E91" s="103" t="s">
        <v>209</v>
      </c>
      <c r="F91" s="18">
        <v>12</v>
      </c>
      <c r="G91" s="101">
        <v>202053</v>
      </c>
      <c r="H91" s="100" t="s">
        <v>382</v>
      </c>
      <c r="I91" s="100">
        <v>2</v>
      </c>
      <c r="J91" s="104">
        <v>45112</v>
      </c>
      <c r="K91" s="100" t="s">
        <v>383</v>
      </c>
      <c r="L91" s="106">
        <v>45112.28769675926</v>
      </c>
      <c r="M91" s="100">
        <v>13</v>
      </c>
    </row>
    <row r="92" spans="1:13" x14ac:dyDescent="0.3">
      <c r="A92" s="100">
        <v>34</v>
      </c>
      <c r="B92" s="103" t="s">
        <v>356</v>
      </c>
      <c r="C92" s="103" t="s">
        <v>357</v>
      </c>
      <c r="D92" s="99">
        <v>213777</v>
      </c>
      <c r="E92" s="103" t="s">
        <v>209</v>
      </c>
      <c r="F92" s="18">
        <v>12</v>
      </c>
      <c r="G92" s="101">
        <v>202053</v>
      </c>
      <c r="H92" s="100" t="s">
        <v>384</v>
      </c>
      <c r="I92" s="100">
        <v>0</v>
      </c>
      <c r="J92" s="104">
        <v>45112</v>
      </c>
      <c r="K92" s="100" t="s">
        <v>385</v>
      </c>
      <c r="L92" s="106">
        <v>45112.288090277776</v>
      </c>
      <c r="M92" s="100">
        <v>14</v>
      </c>
    </row>
    <row r="93" spans="1:13" x14ac:dyDescent="0.3">
      <c r="A93" s="100">
        <v>35</v>
      </c>
      <c r="B93" s="103" t="s">
        <v>356</v>
      </c>
      <c r="C93" s="103" t="s">
        <v>357</v>
      </c>
      <c r="D93" s="99">
        <v>213777</v>
      </c>
      <c r="E93" s="103" t="s">
        <v>209</v>
      </c>
      <c r="F93" s="18">
        <v>12</v>
      </c>
      <c r="G93" s="101">
        <v>202053</v>
      </c>
      <c r="H93" s="100" t="s">
        <v>386</v>
      </c>
      <c r="I93" s="100">
        <v>1</v>
      </c>
      <c r="J93" s="104">
        <v>45112</v>
      </c>
      <c r="K93" s="100" t="s">
        <v>387</v>
      </c>
      <c r="L93" s="106">
        <v>45112.292638888888</v>
      </c>
      <c r="M93" s="100">
        <v>15</v>
      </c>
    </row>
    <row r="94" spans="1:13" x14ac:dyDescent="0.3">
      <c r="A94" s="100">
        <v>36</v>
      </c>
      <c r="B94" s="103" t="s">
        <v>356</v>
      </c>
      <c r="C94" s="103" t="s">
        <v>357</v>
      </c>
      <c r="D94" s="99">
        <v>213777</v>
      </c>
      <c r="E94" s="103" t="s">
        <v>249</v>
      </c>
      <c r="F94" s="18">
        <v>32</v>
      </c>
      <c r="G94" s="101">
        <v>223044</v>
      </c>
      <c r="H94" s="100" t="s">
        <v>388</v>
      </c>
      <c r="I94" s="100">
        <v>1</v>
      </c>
      <c r="J94" s="104">
        <v>45112</v>
      </c>
      <c r="K94" s="100" t="s">
        <v>389</v>
      </c>
      <c r="L94" s="106">
        <v>45112.295335648145</v>
      </c>
      <c r="M94" s="100">
        <v>16</v>
      </c>
    </row>
    <row r="95" spans="1:13" x14ac:dyDescent="0.3">
      <c r="A95" s="100">
        <v>37</v>
      </c>
      <c r="B95" s="103" t="s">
        <v>356</v>
      </c>
      <c r="C95" s="103" t="s">
        <v>357</v>
      </c>
      <c r="D95" s="99">
        <v>213777</v>
      </c>
      <c r="E95" s="103" t="s">
        <v>209</v>
      </c>
      <c r="F95" s="18">
        <v>12</v>
      </c>
      <c r="G95" s="101">
        <v>202053</v>
      </c>
      <c r="H95" s="100" t="s">
        <v>390</v>
      </c>
      <c r="I95" s="100">
        <v>3</v>
      </c>
      <c r="J95" s="104">
        <v>45112</v>
      </c>
      <c r="K95" s="100" t="s">
        <v>391</v>
      </c>
      <c r="L95" s="106">
        <v>45112.323784722219</v>
      </c>
      <c r="M95" s="100">
        <v>17</v>
      </c>
    </row>
    <row r="96" spans="1:13" x14ac:dyDescent="0.3">
      <c r="A96" s="100">
        <v>38</v>
      </c>
      <c r="B96" s="103" t="s">
        <v>356</v>
      </c>
      <c r="C96" s="103" t="s">
        <v>357</v>
      </c>
      <c r="D96" s="99">
        <v>213777</v>
      </c>
      <c r="E96" s="103" t="s">
        <v>209</v>
      </c>
      <c r="F96" s="18">
        <v>12</v>
      </c>
      <c r="G96" s="101">
        <v>202053</v>
      </c>
      <c r="H96" s="100" t="s">
        <v>392</v>
      </c>
      <c r="I96" s="100">
        <v>1</v>
      </c>
      <c r="J96" s="104">
        <v>45112</v>
      </c>
      <c r="K96" s="100" t="s">
        <v>393</v>
      </c>
      <c r="L96" s="106">
        <v>45112.323969907404</v>
      </c>
      <c r="M96" s="100">
        <v>18</v>
      </c>
    </row>
    <row r="97" spans="1:13" x14ac:dyDescent="0.3">
      <c r="A97" s="100">
        <v>39</v>
      </c>
      <c r="B97" s="103" t="s">
        <v>356</v>
      </c>
      <c r="C97" s="103" t="s">
        <v>357</v>
      </c>
      <c r="D97" s="99">
        <v>213777</v>
      </c>
      <c r="E97" s="103" t="s">
        <v>209</v>
      </c>
      <c r="F97" s="18">
        <v>12</v>
      </c>
      <c r="G97" s="101">
        <v>202053</v>
      </c>
      <c r="H97" s="100" t="s">
        <v>394</v>
      </c>
      <c r="I97" s="100">
        <v>3</v>
      </c>
      <c r="J97" s="104">
        <v>45112</v>
      </c>
      <c r="K97" s="100" t="s">
        <v>395</v>
      </c>
      <c r="L97" s="106">
        <v>45112.324155092596</v>
      </c>
      <c r="M97" s="100">
        <v>19</v>
      </c>
    </row>
    <row r="98" spans="1:13" x14ac:dyDescent="0.3">
      <c r="A98" s="100">
        <v>40</v>
      </c>
      <c r="B98" s="103" t="s">
        <v>356</v>
      </c>
      <c r="C98" s="103" t="s">
        <v>357</v>
      </c>
      <c r="D98" s="99">
        <v>213777</v>
      </c>
      <c r="E98" s="103" t="s">
        <v>209</v>
      </c>
      <c r="F98" s="18">
        <v>12</v>
      </c>
      <c r="G98" s="101">
        <v>202053</v>
      </c>
      <c r="H98" s="100" t="s">
        <v>396</v>
      </c>
      <c r="I98" s="100">
        <v>0</v>
      </c>
      <c r="J98" s="104">
        <v>45112</v>
      </c>
      <c r="K98" s="100" t="s">
        <v>397</v>
      </c>
      <c r="L98" s="106">
        <v>45112.324340277781</v>
      </c>
      <c r="M98" s="100">
        <v>20</v>
      </c>
    </row>
    <row r="99" spans="1:13" x14ac:dyDescent="0.3">
      <c r="A99" s="100">
        <v>41</v>
      </c>
      <c r="B99" s="103" t="s">
        <v>356</v>
      </c>
      <c r="C99" s="103" t="s">
        <v>357</v>
      </c>
      <c r="D99" s="99">
        <v>213777</v>
      </c>
      <c r="E99" s="103" t="s">
        <v>209</v>
      </c>
      <c r="F99" s="18">
        <v>12</v>
      </c>
      <c r="G99" s="101">
        <v>202053</v>
      </c>
      <c r="H99" s="100" t="s">
        <v>398</v>
      </c>
      <c r="I99" s="100">
        <v>2</v>
      </c>
      <c r="J99" s="104">
        <v>45112</v>
      </c>
      <c r="K99" s="100" t="s">
        <v>399</v>
      </c>
      <c r="L99" s="106">
        <v>45112.324513888889</v>
      </c>
      <c r="M99" s="100">
        <v>21</v>
      </c>
    </row>
    <row r="100" spans="1:13" x14ac:dyDescent="0.3">
      <c r="A100" s="100">
        <v>42</v>
      </c>
      <c r="B100" s="103" t="s">
        <v>356</v>
      </c>
      <c r="C100" s="103" t="s">
        <v>357</v>
      </c>
      <c r="D100" s="99">
        <v>213777</v>
      </c>
      <c r="E100" s="103" t="s">
        <v>209</v>
      </c>
      <c r="F100" s="18">
        <v>12</v>
      </c>
      <c r="G100" s="101">
        <v>202053</v>
      </c>
      <c r="H100" s="100" t="s">
        <v>400</v>
      </c>
      <c r="I100" s="100">
        <v>2</v>
      </c>
      <c r="J100" s="104">
        <v>45112</v>
      </c>
      <c r="K100" s="100" t="s">
        <v>401</v>
      </c>
      <c r="L100" s="106">
        <v>45112.325011574074</v>
      </c>
      <c r="M100" s="100">
        <v>22</v>
      </c>
    </row>
    <row r="101" spans="1:13" x14ac:dyDescent="0.3">
      <c r="A101" s="100">
        <v>43</v>
      </c>
      <c r="B101" s="103" t="s">
        <v>356</v>
      </c>
      <c r="C101" s="103" t="s">
        <v>357</v>
      </c>
      <c r="D101" s="99">
        <v>213777</v>
      </c>
      <c r="E101" s="103" t="s">
        <v>209</v>
      </c>
      <c r="F101" s="18">
        <v>12</v>
      </c>
      <c r="G101" s="101">
        <v>202053</v>
      </c>
      <c r="H101" s="100" t="s">
        <v>402</v>
      </c>
      <c r="I101" s="100">
        <v>1</v>
      </c>
      <c r="J101" s="104">
        <v>45112</v>
      </c>
      <c r="K101" s="100" t="s">
        <v>403</v>
      </c>
      <c r="L101" s="106">
        <v>45112.32503472222</v>
      </c>
      <c r="M101" s="100">
        <v>23</v>
      </c>
    </row>
    <row r="102" spans="1:13" x14ac:dyDescent="0.3">
      <c r="A102" s="100">
        <v>44</v>
      </c>
      <c r="B102" s="103" t="s">
        <v>356</v>
      </c>
      <c r="C102" s="103" t="s">
        <v>357</v>
      </c>
      <c r="D102" s="99">
        <v>213777</v>
      </c>
      <c r="E102" s="103" t="s">
        <v>209</v>
      </c>
      <c r="F102" s="18">
        <v>12</v>
      </c>
      <c r="G102" s="101">
        <v>202053</v>
      </c>
      <c r="H102" s="100" t="s">
        <v>404</v>
      </c>
      <c r="I102" s="100">
        <v>1</v>
      </c>
      <c r="J102" s="104">
        <v>45112</v>
      </c>
      <c r="K102" s="100" t="s">
        <v>405</v>
      </c>
      <c r="L102" s="106">
        <v>45112.325300925928</v>
      </c>
      <c r="M102" s="100">
        <v>24</v>
      </c>
    </row>
    <row r="103" spans="1:13" x14ac:dyDescent="0.3">
      <c r="A103" s="100">
        <v>45</v>
      </c>
      <c r="B103" s="103" t="s">
        <v>356</v>
      </c>
      <c r="C103" s="103" t="s">
        <v>357</v>
      </c>
      <c r="D103" s="99">
        <v>213777</v>
      </c>
      <c r="E103" s="103" t="s">
        <v>209</v>
      </c>
      <c r="F103" s="18">
        <v>12</v>
      </c>
      <c r="G103" s="101">
        <v>202053</v>
      </c>
      <c r="H103" s="100" t="s">
        <v>406</v>
      </c>
      <c r="I103" s="100">
        <v>1</v>
      </c>
      <c r="J103" s="104">
        <v>45112</v>
      </c>
      <c r="K103" s="100" t="s">
        <v>407</v>
      </c>
      <c r="L103" s="106">
        <v>45112.325324074074</v>
      </c>
      <c r="M103" s="100">
        <v>25</v>
      </c>
    </row>
    <row r="104" spans="1:13" x14ac:dyDescent="0.3">
      <c r="A104" s="100">
        <v>46</v>
      </c>
      <c r="B104" s="103" t="s">
        <v>356</v>
      </c>
      <c r="C104" s="103" t="s">
        <v>357</v>
      </c>
      <c r="D104" s="99">
        <v>213777</v>
      </c>
      <c r="E104" s="103" t="s">
        <v>209</v>
      </c>
      <c r="F104" s="18">
        <v>12</v>
      </c>
      <c r="G104" s="101">
        <v>202053</v>
      </c>
      <c r="H104" s="100" t="s">
        <v>408</v>
      </c>
      <c r="I104" s="100">
        <v>1</v>
      </c>
      <c r="J104" s="104">
        <v>45112</v>
      </c>
      <c r="K104" s="100" t="s">
        <v>409</v>
      </c>
      <c r="L104" s="106">
        <v>45112.326018518521</v>
      </c>
      <c r="M104" s="100">
        <v>26</v>
      </c>
    </row>
    <row r="105" spans="1:13" x14ac:dyDescent="0.3">
      <c r="A105" s="100">
        <v>47</v>
      </c>
      <c r="B105" s="103" t="s">
        <v>356</v>
      </c>
      <c r="C105" s="103" t="s">
        <v>357</v>
      </c>
      <c r="D105" s="99">
        <v>213777</v>
      </c>
      <c r="E105" s="103" t="s">
        <v>209</v>
      </c>
      <c r="F105" s="18">
        <v>12</v>
      </c>
      <c r="G105" s="101">
        <v>202053</v>
      </c>
      <c r="H105" s="100" t="s">
        <v>410</v>
      </c>
      <c r="I105" s="100">
        <v>0</v>
      </c>
      <c r="J105" s="104">
        <v>45112</v>
      </c>
      <c r="K105" s="100" t="s">
        <v>411</v>
      </c>
      <c r="L105" s="106">
        <v>45112.327881944446</v>
      </c>
      <c r="M105" s="100">
        <v>27</v>
      </c>
    </row>
    <row r="106" spans="1:13" x14ac:dyDescent="0.3">
      <c r="A106" s="100">
        <v>48</v>
      </c>
      <c r="B106" s="103" t="s">
        <v>356</v>
      </c>
      <c r="C106" s="103" t="s">
        <v>357</v>
      </c>
      <c r="D106" s="99">
        <v>213777</v>
      </c>
      <c r="E106" s="103" t="s">
        <v>209</v>
      </c>
      <c r="F106" s="18">
        <v>12</v>
      </c>
      <c r="G106" s="101">
        <v>202053</v>
      </c>
      <c r="H106" s="100" t="s">
        <v>412</v>
      </c>
      <c r="I106" s="100">
        <v>2</v>
      </c>
      <c r="J106" s="104">
        <v>45112</v>
      </c>
      <c r="K106" s="100" t="s">
        <v>413</v>
      </c>
      <c r="L106" s="106">
        <v>45112.328287037039</v>
      </c>
      <c r="M106" s="100">
        <v>28</v>
      </c>
    </row>
    <row r="107" spans="1:13" x14ac:dyDescent="0.3">
      <c r="A107" s="100">
        <v>49</v>
      </c>
      <c r="B107" s="103" t="s">
        <v>356</v>
      </c>
      <c r="C107" s="103" t="s">
        <v>357</v>
      </c>
      <c r="D107" s="99">
        <v>213777</v>
      </c>
      <c r="E107" s="103" t="s">
        <v>209</v>
      </c>
      <c r="F107" s="18">
        <v>12</v>
      </c>
      <c r="G107" s="101">
        <v>202053</v>
      </c>
      <c r="H107" s="100" t="s">
        <v>414</v>
      </c>
      <c r="I107" s="100">
        <v>1</v>
      </c>
      <c r="J107" s="104">
        <v>45112</v>
      </c>
      <c r="K107" s="100" t="s">
        <v>415</v>
      </c>
      <c r="L107" s="106">
        <v>45112.328796296293</v>
      </c>
      <c r="M107" s="100">
        <v>29</v>
      </c>
    </row>
    <row r="108" spans="1:13" x14ac:dyDescent="0.3">
      <c r="A108" s="100">
        <v>50</v>
      </c>
      <c r="B108" s="103" t="s">
        <v>356</v>
      </c>
      <c r="C108" s="103" t="s">
        <v>357</v>
      </c>
      <c r="D108" s="99">
        <v>213777</v>
      </c>
      <c r="E108" s="103" t="s">
        <v>209</v>
      </c>
      <c r="F108" s="18">
        <v>12</v>
      </c>
      <c r="G108" s="101">
        <v>202053</v>
      </c>
      <c r="H108" s="100" t="s">
        <v>416</v>
      </c>
      <c r="I108" s="100">
        <v>1</v>
      </c>
      <c r="J108" s="104">
        <v>45112</v>
      </c>
      <c r="K108" s="100" t="s">
        <v>417</v>
      </c>
      <c r="L108" s="106">
        <v>45112.329236111109</v>
      </c>
      <c r="M108" s="100">
        <v>30</v>
      </c>
    </row>
    <row r="109" spans="1:13" x14ac:dyDescent="0.3">
      <c r="A109" s="100">
        <v>51</v>
      </c>
      <c r="B109" s="103" t="s">
        <v>356</v>
      </c>
      <c r="C109" s="103" t="s">
        <v>357</v>
      </c>
      <c r="D109" s="99">
        <v>213777</v>
      </c>
      <c r="E109" s="103" t="s">
        <v>209</v>
      </c>
      <c r="F109" s="18">
        <v>12</v>
      </c>
      <c r="G109" s="101">
        <v>202053</v>
      </c>
      <c r="H109" s="100" t="s">
        <v>418</v>
      </c>
      <c r="I109" s="100">
        <v>0</v>
      </c>
      <c r="J109" s="104">
        <v>45112</v>
      </c>
      <c r="K109" s="100" t="s">
        <v>419</v>
      </c>
      <c r="L109" s="106">
        <v>45112.329502314817</v>
      </c>
      <c r="M109" s="100">
        <v>31</v>
      </c>
    </row>
    <row r="110" spans="1:13" x14ac:dyDescent="0.3">
      <c r="A110" s="100">
        <v>52</v>
      </c>
      <c r="B110" s="103" t="s">
        <v>356</v>
      </c>
      <c r="C110" s="103" t="s">
        <v>357</v>
      </c>
      <c r="D110" s="99">
        <v>213777</v>
      </c>
      <c r="E110" s="103" t="s">
        <v>209</v>
      </c>
      <c r="F110" s="18">
        <v>12</v>
      </c>
      <c r="G110" s="101">
        <v>202053</v>
      </c>
      <c r="H110" s="100" t="s">
        <v>420</v>
      </c>
      <c r="I110" s="100">
        <v>1</v>
      </c>
      <c r="J110" s="104">
        <v>45112</v>
      </c>
      <c r="K110" s="100" t="s">
        <v>421</v>
      </c>
      <c r="L110" s="106">
        <v>45112.329965277779</v>
      </c>
      <c r="M110" s="100">
        <v>32</v>
      </c>
    </row>
    <row r="111" spans="1:13" x14ac:dyDescent="0.3">
      <c r="A111" s="100">
        <v>53</v>
      </c>
      <c r="B111" s="103" t="s">
        <v>356</v>
      </c>
      <c r="C111" s="103" t="s">
        <v>357</v>
      </c>
      <c r="D111" s="99">
        <v>213777</v>
      </c>
      <c r="E111" s="103" t="s">
        <v>209</v>
      </c>
      <c r="F111" s="18">
        <v>12</v>
      </c>
      <c r="G111" s="101">
        <v>202053</v>
      </c>
      <c r="H111" s="100" t="s">
        <v>422</v>
      </c>
      <c r="I111" s="100">
        <v>2</v>
      </c>
      <c r="J111" s="104">
        <v>45112</v>
      </c>
      <c r="K111" s="100" t="s">
        <v>423</v>
      </c>
      <c r="L111" s="106">
        <v>45112.331354166665</v>
      </c>
      <c r="M111" s="100">
        <v>33</v>
      </c>
    </row>
    <row r="112" spans="1:13" x14ac:dyDescent="0.3">
      <c r="A112" s="100">
        <v>54</v>
      </c>
      <c r="B112" s="103" t="s">
        <v>356</v>
      </c>
      <c r="C112" s="103" t="s">
        <v>357</v>
      </c>
      <c r="D112" s="99">
        <v>213777</v>
      </c>
      <c r="E112" s="103" t="s">
        <v>209</v>
      </c>
      <c r="F112" s="18">
        <v>12</v>
      </c>
      <c r="G112" s="101">
        <v>202053</v>
      </c>
      <c r="H112" s="100" t="s">
        <v>424</v>
      </c>
      <c r="I112" s="100">
        <v>1</v>
      </c>
      <c r="J112" s="104">
        <v>45112</v>
      </c>
      <c r="K112" s="100" t="s">
        <v>425</v>
      </c>
      <c r="L112" s="106">
        <v>45112.332430555558</v>
      </c>
      <c r="M112" s="100">
        <v>34</v>
      </c>
    </row>
    <row r="113" spans="1:13" x14ac:dyDescent="0.3">
      <c r="A113" s="100">
        <v>55</v>
      </c>
      <c r="B113" s="103" t="s">
        <v>356</v>
      </c>
      <c r="C113" s="103" t="s">
        <v>357</v>
      </c>
      <c r="D113" s="99">
        <v>213777</v>
      </c>
      <c r="E113" s="103" t="s">
        <v>209</v>
      </c>
      <c r="F113" s="18">
        <v>12</v>
      </c>
      <c r="G113" s="101">
        <v>202053</v>
      </c>
      <c r="H113" s="100" t="s">
        <v>426</v>
      </c>
      <c r="I113" s="100">
        <v>1</v>
      </c>
      <c r="J113" s="104">
        <v>45112</v>
      </c>
      <c r="K113" s="100" t="s">
        <v>427</v>
      </c>
      <c r="L113" s="106">
        <v>45112.332939814813</v>
      </c>
      <c r="M113" s="100">
        <v>35</v>
      </c>
    </row>
    <row r="114" spans="1:13" x14ac:dyDescent="0.3">
      <c r="A114" s="100">
        <v>56</v>
      </c>
      <c r="B114" s="103" t="s">
        <v>356</v>
      </c>
      <c r="C114" s="103" t="s">
        <v>357</v>
      </c>
      <c r="D114" s="99">
        <v>213777</v>
      </c>
      <c r="E114" s="103" t="s">
        <v>209</v>
      </c>
      <c r="F114" s="18">
        <v>12</v>
      </c>
      <c r="G114" s="101">
        <v>202053</v>
      </c>
      <c r="H114" s="100" t="s">
        <v>428</v>
      </c>
      <c r="I114" s="100">
        <v>1</v>
      </c>
      <c r="J114" s="104">
        <v>45112</v>
      </c>
      <c r="K114" s="100" t="s">
        <v>429</v>
      </c>
      <c r="L114" s="106">
        <v>45112.333402777775</v>
      </c>
      <c r="M114" s="100">
        <v>36</v>
      </c>
    </row>
    <row r="115" spans="1:13" x14ac:dyDescent="0.3">
      <c r="A115" s="100">
        <v>57</v>
      </c>
      <c r="B115" s="103" t="s">
        <v>356</v>
      </c>
      <c r="C115" s="103" t="s">
        <v>357</v>
      </c>
      <c r="D115" s="99">
        <v>213777</v>
      </c>
      <c r="E115" s="103" t="s">
        <v>209</v>
      </c>
      <c r="F115" s="18">
        <v>12</v>
      </c>
      <c r="G115" s="101">
        <v>202053</v>
      </c>
      <c r="H115" s="100" t="s">
        <v>430</v>
      </c>
      <c r="I115" s="100">
        <v>1</v>
      </c>
      <c r="J115" s="104">
        <v>45112</v>
      </c>
      <c r="K115" s="100" t="s">
        <v>431</v>
      </c>
      <c r="L115" s="106">
        <v>45112.334652777776</v>
      </c>
      <c r="M115" s="100">
        <v>37</v>
      </c>
    </row>
    <row r="116" spans="1:13" x14ac:dyDescent="0.3">
      <c r="A116" s="100">
        <v>58</v>
      </c>
      <c r="B116" s="103" t="s">
        <v>356</v>
      </c>
      <c r="C116" s="103" t="s">
        <v>357</v>
      </c>
      <c r="D116" s="99">
        <v>213777</v>
      </c>
      <c r="E116" s="103" t="s">
        <v>209</v>
      </c>
      <c r="F116" s="18">
        <v>12</v>
      </c>
      <c r="G116" s="101">
        <v>202053</v>
      </c>
      <c r="H116" s="100" t="s">
        <v>432</v>
      </c>
      <c r="I116" s="100">
        <v>2</v>
      </c>
      <c r="J116" s="104">
        <v>45112</v>
      </c>
      <c r="K116" s="100" t="s">
        <v>433</v>
      </c>
      <c r="L116" s="106">
        <v>45112.334976851853</v>
      </c>
      <c r="M116" s="100">
        <v>38</v>
      </c>
    </row>
    <row r="117" spans="1:13" x14ac:dyDescent="0.3">
      <c r="A117" s="100">
        <v>59</v>
      </c>
      <c r="B117" s="103" t="s">
        <v>356</v>
      </c>
      <c r="C117" s="103" t="s">
        <v>357</v>
      </c>
      <c r="D117" s="99">
        <v>213777</v>
      </c>
      <c r="E117" s="103" t="s">
        <v>209</v>
      </c>
      <c r="F117" s="18">
        <v>12</v>
      </c>
      <c r="G117" s="101">
        <v>202053</v>
      </c>
      <c r="H117" s="100" t="s">
        <v>434</v>
      </c>
      <c r="I117" s="100">
        <v>3</v>
      </c>
      <c r="J117" s="104">
        <v>45112</v>
      </c>
      <c r="K117" s="100" t="s">
        <v>435</v>
      </c>
      <c r="L117" s="106">
        <v>45112.336539351854</v>
      </c>
      <c r="M117" s="100">
        <v>39</v>
      </c>
    </row>
    <row r="118" spans="1:13" x14ac:dyDescent="0.3">
      <c r="A118" s="100">
        <v>60</v>
      </c>
      <c r="B118" s="103" t="s">
        <v>356</v>
      </c>
      <c r="C118" s="103" t="s">
        <v>357</v>
      </c>
      <c r="D118" s="99">
        <v>213777</v>
      </c>
      <c r="E118" s="103" t="s">
        <v>209</v>
      </c>
      <c r="F118" s="18">
        <v>12</v>
      </c>
      <c r="G118" s="101">
        <v>202053</v>
      </c>
      <c r="H118" s="100" t="s">
        <v>436</v>
      </c>
      <c r="I118" s="100">
        <v>3</v>
      </c>
      <c r="J118" s="104">
        <v>45112</v>
      </c>
      <c r="K118" s="100" t="s">
        <v>437</v>
      </c>
      <c r="L118" s="106">
        <v>45112.337002314816</v>
      </c>
      <c r="M118" s="100">
        <v>40</v>
      </c>
    </row>
    <row r="119" spans="1:13" x14ac:dyDescent="0.3">
      <c r="A119" s="100">
        <v>61</v>
      </c>
      <c r="B119" s="103" t="s">
        <v>356</v>
      </c>
      <c r="C119" s="103" t="s">
        <v>357</v>
      </c>
      <c r="D119" s="99">
        <v>213777</v>
      </c>
      <c r="E119" s="103" t="s">
        <v>209</v>
      </c>
      <c r="F119" s="18">
        <v>12</v>
      </c>
      <c r="G119" s="101">
        <v>202053</v>
      </c>
      <c r="H119" s="100" t="s">
        <v>438</v>
      </c>
      <c r="I119" s="100">
        <v>2</v>
      </c>
      <c r="J119" s="104">
        <v>45112</v>
      </c>
      <c r="K119" s="100" t="s">
        <v>439</v>
      </c>
      <c r="L119" s="106">
        <v>45112.395937499998</v>
      </c>
      <c r="M119" s="100">
        <v>41</v>
      </c>
    </row>
    <row r="120" spans="1:13" x14ac:dyDescent="0.3">
      <c r="A120" s="100">
        <v>62</v>
      </c>
      <c r="B120" s="103" t="s">
        <v>356</v>
      </c>
      <c r="C120" s="103" t="s">
        <v>357</v>
      </c>
      <c r="D120" s="99">
        <v>213777</v>
      </c>
      <c r="E120" s="103" t="s">
        <v>209</v>
      </c>
      <c r="F120" s="18">
        <v>12</v>
      </c>
      <c r="G120" s="101">
        <v>202053</v>
      </c>
      <c r="H120" s="100" t="s">
        <v>440</v>
      </c>
      <c r="I120" s="100">
        <v>3</v>
      </c>
      <c r="J120" s="104">
        <v>45112</v>
      </c>
      <c r="K120" s="100" t="s">
        <v>441</v>
      </c>
      <c r="L120" s="106">
        <v>45112.398773148147</v>
      </c>
      <c r="M120" s="100">
        <v>42</v>
      </c>
    </row>
    <row r="121" spans="1:13" x14ac:dyDescent="0.3">
      <c r="A121" s="100">
        <v>63</v>
      </c>
      <c r="B121" s="103" t="s">
        <v>356</v>
      </c>
      <c r="C121" s="103" t="s">
        <v>357</v>
      </c>
      <c r="D121" s="99">
        <v>213777</v>
      </c>
      <c r="E121" s="103" t="s">
        <v>209</v>
      </c>
      <c r="F121" s="18">
        <v>12</v>
      </c>
      <c r="G121" s="101">
        <v>202053</v>
      </c>
      <c r="H121" s="100" t="s">
        <v>442</v>
      </c>
      <c r="I121" s="100">
        <v>0</v>
      </c>
      <c r="J121" s="104">
        <v>45112</v>
      </c>
      <c r="K121" s="100" t="s">
        <v>443</v>
      </c>
      <c r="L121" s="106">
        <v>45112.400277777779</v>
      </c>
      <c r="M121" s="100">
        <v>43</v>
      </c>
    </row>
    <row r="122" spans="1:13" x14ac:dyDescent="0.3">
      <c r="A122" s="100">
        <v>64</v>
      </c>
      <c r="B122" s="103" t="s">
        <v>356</v>
      </c>
      <c r="C122" s="103" t="s">
        <v>357</v>
      </c>
      <c r="D122" s="99">
        <v>213777</v>
      </c>
      <c r="E122" s="103" t="s">
        <v>209</v>
      </c>
      <c r="F122" s="18">
        <v>12</v>
      </c>
      <c r="G122" s="101">
        <v>202053</v>
      </c>
      <c r="H122" s="100" t="s">
        <v>444</v>
      </c>
      <c r="I122" s="100">
        <v>1</v>
      </c>
      <c r="J122" s="104">
        <v>45112</v>
      </c>
      <c r="K122" s="100" t="s">
        <v>445</v>
      </c>
      <c r="L122" s="106">
        <v>45112.400289351855</v>
      </c>
      <c r="M122" s="100">
        <v>44</v>
      </c>
    </row>
    <row r="123" spans="1:13" x14ac:dyDescent="0.3">
      <c r="A123" s="100">
        <v>65</v>
      </c>
      <c r="B123" s="103" t="s">
        <v>356</v>
      </c>
      <c r="C123" s="103" t="s">
        <v>357</v>
      </c>
      <c r="D123" s="99">
        <v>213777</v>
      </c>
      <c r="E123" s="103" t="s">
        <v>209</v>
      </c>
      <c r="F123" s="18">
        <v>12</v>
      </c>
      <c r="G123" s="101">
        <v>202053</v>
      </c>
      <c r="H123" s="100" t="s">
        <v>446</v>
      </c>
      <c r="I123" s="100">
        <v>3</v>
      </c>
      <c r="J123" s="104">
        <v>45112</v>
      </c>
      <c r="K123" s="100" t="s">
        <v>447</v>
      </c>
      <c r="L123" s="106">
        <v>45112.401006944441</v>
      </c>
      <c r="M123" s="100">
        <v>45</v>
      </c>
    </row>
    <row r="124" spans="1:13" x14ac:dyDescent="0.3">
      <c r="A124" s="100">
        <v>66</v>
      </c>
      <c r="B124" s="103" t="s">
        <v>356</v>
      </c>
      <c r="C124" s="103" t="s">
        <v>357</v>
      </c>
      <c r="D124" s="99">
        <v>213777</v>
      </c>
      <c r="E124" s="103" t="s">
        <v>209</v>
      </c>
      <c r="F124" s="18">
        <v>12</v>
      </c>
      <c r="G124" s="101">
        <v>202053</v>
      </c>
      <c r="H124" s="100" t="s">
        <v>448</v>
      </c>
      <c r="I124" s="100">
        <v>0</v>
      </c>
      <c r="J124" s="104">
        <v>45112</v>
      </c>
      <c r="K124" s="100" t="s">
        <v>449</v>
      </c>
      <c r="L124" s="106">
        <v>45112.403634259259</v>
      </c>
      <c r="M124" s="100">
        <v>46</v>
      </c>
    </row>
    <row r="125" spans="1:13" x14ac:dyDescent="0.3">
      <c r="A125" s="100">
        <v>67</v>
      </c>
      <c r="B125" s="103" t="s">
        <v>356</v>
      </c>
      <c r="C125" s="103" t="s">
        <v>357</v>
      </c>
      <c r="D125" s="99">
        <v>213777</v>
      </c>
      <c r="E125" s="103" t="s">
        <v>254</v>
      </c>
      <c r="F125" s="18">
        <v>17</v>
      </c>
      <c r="G125" s="101">
        <v>202290</v>
      </c>
      <c r="H125" s="100" t="s">
        <v>450</v>
      </c>
      <c r="I125" s="100">
        <v>1</v>
      </c>
      <c r="J125" s="104">
        <v>45112</v>
      </c>
      <c r="K125" s="100" t="s">
        <v>451</v>
      </c>
      <c r="L125" s="106">
        <v>45112.406307870369</v>
      </c>
      <c r="M125" s="100">
        <v>47</v>
      </c>
    </row>
    <row r="126" spans="1:13" x14ac:dyDescent="0.3">
      <c r="A126" s="100">
        <v>68</v>
      </c>
      <c r="B126" s="103" t="s">
        <v>356</v>
      </c>
      <c r="C126" s="103" t="s">
        <v>357</v>
      </c>
      <c r="D126" s="99">
        <v>213777</v>
      </c>
      <c r="E126" s="103" t="s">
        <v>254</v>
      </c>
      <c r="F126" s="18">
        <v>17</v>
      </c>
      <c r="G126" s="101">
        <v>202290</v>
      </c>
      <c r="H126" s="100" t="s">
        <v>452</v>
      </c>
      <c r="I126" s="100">
        <v>2</v>
      </c>
      <c r="J126" s="104">
        <v>45112</v>
      </c>
      <c r="K126" s="100" t="s">
        <v>453</v>
      </c>
      <c r="L126" s="106">
        <v>45112.406331018516</v>
      </c>
      <c r="M126" s="100">
        <v>48</v>
      </c>
    </row>
    <row r="127" spans="1:13" x14ac:dyDescent="0.3">
      <c r="A127" s="100">
        <v>69</v>
      </c>
      <c r="B127" s="103" t="s">
        <v>356</v>
      </c>
      <c r="C127" s="103" t="s">
        <v>357</v>
      </c>
      <c r="D127" s="99">
        <v>213777</v>
      </c>
      <c r="E127" s="103" t="s">
        <v>254</v>
      </c>
      <c r="F127" s="18">
        <v>17</v>
      </c>
      <c r="G127" s="101">
        <v>202290</v>
      </c>
      <c r="H127" s="100" t="s">
        <v>454</v>
      </c>
      <c r="I127" s="100">
        <v>4</v>
      </c>
      <c r="J127" s="104">
        <v>45112</v>
      </c>
      <c r="K127" s="100" t="s">
        <v>455</v>
      </c>
      <c r="L127" s="106">
        <v>45112.406967592593</v>
      </c>
      <c r="M127" s="100">
        <v>49</v>
      </c>
    </row>
    <row r="128" spans="1:13" x14ac:dyDescent="0.3">
      <c r="A128" s="100">
        <v>70</v>
      </c>
      <c r="B128" s="103" t="s">
        <v>356</v>
      </c>
      <c r="C128" s="103" t="s">
        <v>357</v>
      </c>
      <c r="D128" s="99">
        <v>213777</v>
      </c>
      <c r="E128" s="103" t="s">
        <v>254</v>
      </c>
      <c r="F128" s="18">
        <v>17</v>
      </c>
      <c r="G128" s="101">
        <v>202290</v>
      </c>
      <c r="H128" s="100" t="s">
        <v>456</v>
      </c>
      <c r="I128" s="100">
        <v>2</v>
      </c>
      <c r="J128" s="104">
        <v>45112</v>
      </c>
      <c r="K128" s="100" t="s">
        <v>457</v>
      </c>
      <c r="L128" s="106">
        <v>45112.40724537037</v>
      </c>
      <c r="M128" s="100">
        <v>50</v>
      </c>
    </row>
    <row r="129" spans="1:13" x14ac:dyDescent="0.3">
      <c r="A129" s="100">
        <v>71</v>
      </c>
      <c r="B129" s="103" t="s">
        <v>356</v>
      </c>
      <c r="C129" s="103" t="s">
        <v>357</v>
      </c>
      <c r="D129" s="99">
        <v>213777</v>
      </c>
      <c r="E129" s="103" t="s">
        <v>254</v>
      </c>
      <c r="F129" s="18">
        <v>17</v>
      </c>
      <c r="G129" s="101">
        <v>202290</v>
      </c>
      <c r="H129" s="100" t="s">
        <v>458</v>
      </c>
      <c r="I129" s="100">
        <v>1</v>
      </c>
      <c r="J129" s="104">
        <v>45112</v>
      </c>
      <c r="K129" s="100" t="s">
        <v>459</v>
      </c>
      <c r="L129" s="106">
        <v>45112.413425925923</v>
      </c>
      <c r="M129" s="100">
        <v>51</v>
      </c>
    </row>
    <row r="130" spans="1:13" x14ac:dyDescent="0.3">
      <c r="A130" s="100">
        <v>72</v>
      </c>
      <c r="B130" s="103" t="s">
        <v>356</v>
      </c>
      <c r="C130" s="103" t="s">
        <v>357</v>
      </c>
      <c r="D130" s="99">
        <v>213777</v>
      </c>
      <c r="E130" s="103" t="s">
        <v>254</v>
      </c>
      <c r="F130" s="18">
        <v>17</v>
      </c>
      <c r="G130" s="101">
        <v>202290</v>
      </c>
      <c r="H130" s="100" t="s">
        <v>460</v>
      </c>
      <c r="I130" s="100">
        <v>3</v>
      </c>
      <c r="J130" s="104">
        <v>45112</v>
      </c>
      <c r="K130" s="100" t="s">
        <v>461</v>
      </c>
      <c r="L130" s="106">
        <v>45112.599062499998</v>
      </c>
      <c r="M130" s="100">
        <v>52</v>
      </c>
    </row>
    <row r="131" spans="1:13" x14ac:dyDescent="0.3">
      <c r="A131" s="100">
        <v>73</v>
      </c>
      <c r="B131" s="103" t="s">
        <v>356</v>
      </c>
      <c r="C131" s="103" t="s">
        <v>357</v>
      </c>
      <c r="D131" s="99">
        <v>213777</v>
      </c>
      <c r="E131" s="103" t="s">
        <v>254</v>
      </c>
      <c r="F131" s="18">
        <v>17</v>
      </c>
      <c r="G131" s="101">
        <v>202290</v>
      </c>
      <c r="H131" s="100" t="s">
        <v>462</v>
      </c>
      <c r="I131" s="100">
        <v>1</v>
      </c>
      <c r="J131" s="104">
        <v>45112</v>
      </c>
      <c r="K131" s="100" t="s">
        <v>463</v>
      </c>
      <c r="L131" s="106">
        <v>45112.600243055553</v>
      </c>
      <c r="M131" s="100">
        <v>53</v>
      </c>
    </row>
    <row r="132" spans="1:13" x14ac:dyDescent="0.3">
      <c r="A132" s="100">
        <v>74</v>
      </c>
      <c r="B132" s="103" t="s">
        <v>356</v>
      </c>
      <c r="C132" s="103" t="s">
        <v>357</v>
      </c>
      <c r="D132" s="99">
        <v>213777</v>
      </c>
      <c r="E132" s="103" t="s">
        <v>254</v>
      </c>
      <c r="F132" s="18">
        <v>17</v>
      </c>
      <c r="G132" s="101">
        <v>202290</v>
      </c>
      <c r="H132" s="100" t="s">
        <v>464</v>
      </c>
      <c r="I132" s="100">
        <v>1</v>
      </c>
      <c r="J132" s="104">
        <v>45112</v>
      </c>
      <c r="K132" s="100" t="s">
        <v>465</v>
      </c>
      <c r="L132" s="106">
        <v>45112.601863425924</v>
      </c>
      <c r="M132" s="100">
        <v>54</v>
      </c>
    </row>
    <row r="133" spans="1:13" x14ac:dyDescent="0.3">
      <c r="A133" s="100">
        <v>75</v>
      </c>
      <c r="B133" s="103" t="s">
        <v>356</v>
      </c>
      <c r="C133" s="103" t="s">
        <v>357</v>
      </c>
      <c r="D133" s="99">
        <v>213777</v>
      </c>
      <c r="E133" s="103" t="s">
        <v>254</v>
      </c>
      <c r="F133" s="18">
        <v>17</v>
      </c>
      <c r="G133" s="101">
        <v>202290</v>
      </c>
      <c r="H133" s="100" t="s">
        <v>466</v>
      </c>
      <c r="I133" s="100">
        <v>1</v>
      </c>
      <c r="J133" s="104">
        <v>45112</v>
      </c>
      <c r="K133" s="100" t="s">
        <v>467</v>
      </c>
      <c r="L133" s="106">
        <v>45112.603009259263</v>
      </c>
      <c r="M133" s="100">
        <v>55</v>
      </c>
    </row>
    <row r="134" spans="1:13" x14ac:dyDescent="0.3">
      <c r="A134" s="100">
        <v>76</v>
      </c>
      <c r="B134" s="103" t="s">
        <v>356</v>
      </c>
      <c r="C134" s="103" t="s">
        <v>357</v>
      </c>
      <c r="D134" s="99">
        <v>213777</v>
      </c>
      <c r="E134" s="103" t="s">
        <v>254</v>
      </c>
      <c r="F134" s="18">
        <v>17</v>
      </c>
      <c r="G134" s="101">
        <v>202290</v>
      </c>
      <c r="H134" s="100" t="s">
        <v>468</v>
      </c>
      <c r="I134" s="100">
        <v>2</v>
      </c>
      <c r="J134" s="104">
        <v>45112</v>
      </c>
      <c r="K134" s="100" t="s">
        <v>469</v>
      </c>
      <c r="L134" s="106">
        <v>45112.603449074071</v>
      </c>
      <c r="M134" s="100">
        <v>56</v>
      </c>
    </row>
    <row r="135" spans="1:13" x14ac:dyDescent="0.3">
      <c r="A135" s="100">
        <v>77</v>
      </c>
      <c r="B135" s="103" t="s">
        <v>356</v>
      </c>
      <c r="C135" s="103" t="s">
        <v>357</v>
      </c>
      <c r="D135" s="99">
        <v>213777</v>
      </c>
      <c r="E135" s="103" t="s">
        <v>470</v>
      </c>
      <c r="F135" s="18">
        <v>26</v>
      </c>
      <c r="G135" s="101">
        <v>213261</v>
      </c>
      <c r="H135" s="100" t="s">
        <v>471</v>
      </c>
      <c r="I135" s="100">
        <v>2</v>
      </c>
      <c r="J135" s="104">
        <v>45112</v>
      </c>
      <c r="K135" s="100" t="s">
        <v>472</v>
      </c>
      <c r="L135" s="106">
        <v>45112.77103009259</v>
      </c>
      <c r="M135" s="100">
        <v>57</v>
      </c>
    </row>
    <row r="136" spans="1:13" x14ac:dyDescent="0.3">
      <c r="A136" s="100">
        <v>78</v>
      </c>
      <c r="B136" s="103" t="s">
        <v>356</v>
      </c>
      <c r="C136" s="103" t="s">
        <v>357</v>
      </c>
      <c r="D136" s="99">
        <v>213777</v>
      </c>
      <c r="E136" s="103" t="s">
        <v>470</v>
      </c>
      <c r="F136" s="18">
        <v>26</v>
      </c>
      <c r="G136" s="101">
        <v>213261</v>
      </c>
      <c r="H136" s="100" t="s">
        <v>473</v>
      </c>
      <c r="I136" s="100">
        <v>2</v>
      </c>
      <c r="J136" s="104">
        <v>45112</v>
      </c>
      <c r="K136" s="100" t="s">
        <v>474</v>
      </c>
      <c r="L136" s="106">
        <v>45112.771331018521</v>
      </c>
      <c r="M136" s="100">
        <v>58</v>
      </c>
    </row>
    <row r="137" spans="1:13" x14ac:dyDescent="0.3">
      <c r="A137" s="100">
        <v>79</v>
      </c>
      <c r="B137" s="103" t="s">
        <v>356</v>
      </c>
      <c r="C137" s="103" t="s">
        <v>357</v>
      </c>
      <c r="D137" s="99">
        <v>213777</v>
      </c>
      <c r="E137" s="103" t="s">
        <v>470</v>
      </c>
      <c r="F137" s="18">
        <v>26</v>
      </c>
      <c r="G137" s="101">
        <v>213261</v>
      </c>
      <c r="H137" s="100" t="s">
        <v>475</v>
      </c>
      <c r="I137" s="100">
        <v>1</v>
      </c>
      <c r="J137" s="104">
        <v>45112</v>
      </c>
      <c r="K137" s="100" t="s">
        <v>476</v>
      </c>
      <c r="L137" s="106">
        <v>45112.772627314815</v>
      </c>
      <c r="M137" s="100">
        <v>59</v>
      </c>
    </row>
    <row r="138" spans="1:13" x14ac:dyDescent="0.3">
      <c r="A138" s="100">
        <v>80</v>
      </c>
      <c r="B138" s="103" t="s">
        <v>356</v>
      </c>
      <c r="C138" s="103" t="s">
        <v>357</v>
      </c>
      <c r="D138" s="99">
        <v>213777</v>
      </c>
      <c r="E138" s="103" t="s">
        <v>470</v>
      </c>
      <c r="F138" s="18">
        <v>26</v>
      </c>
      <c r="G138" s="101">
        <v>213261</v>
      </c>
      <c r="H138" s="100" t="s">
        <v>477</v>
      </c>
      <c r="I138" s="100">
        <v>2</v>
      </c>
      <c r="J138" s="104">
        <v>45112</v>
      </c>
      <c r="K138" s="100" t="s">
        <v>478</v>
      </c>
      <c r="L138" s="106">
        <v>45112.775995370372</v>
      </c>
      <c r="M138" s="100">
        <v>60</v>
      </c>
    </row>
    <row r="139" spans="1:13" x14ac:dyDescent="0.3">
      <c r="A139" s="100">
        <v>81</v>
      </c>
      <c r="B139" s="103" t="s">
        <v>356</v>
      </c>
      <c r="C139" s="103" t="s">
        <v>357</v>
      </c>
      <c r="D139" s="99">
        <v>213777</v>
      </c>
      <c r="E139" s="103" t="s">
        <v>470</v>
      </c>
      <c r="F139" s="18">
        <v>26</v>
      </c>
      <c r="G139" s="101">
        <v>213261</v>
      </c>
      <c r="H139" s="100" t="s">
        <v>479</v>
      </c>
      <c r="I139" s="100">
        <v>0</v>
      </c>
      <c r="J139" s="104">
        <v>45112</v>
      </c>
      <c r="K139" s="100" t="s">
        <v>480</v>
      </c>
      <c r="L139" s="106">
        <v>45112.986111111109</v>
      </c>
      <c r="M139" s="100">
        <v>61</v>
      </c>
    </row>
    <row r="140" spans="1:13" x14ac:dyDescent="0.3">
      <c r="A140" s="100">
        <v>82</v>
      </c>
      <c r="B140" s="103" t="s">
        <v>356</v>
      </c>
      <c r="C140" s="103" t="s">
        <v>357</v>
      </c>
      <c r="D140" s="99">
        <v>213777</v>
      </c>
      <c r="E140" s="103" t="s">
        <v>470</v>
      </c>
      <c r="F140" s="18">
        <v>26</v>
      </c>
      <c r="G140" s="101">
        <v>213261</v>
      </c>
      <c r="H140" s="100" t="s">
        <v>481</v>
      </c>
      <c r="I140" s="100">
        <v>0</v>
      </c>
      <c r="J140" s="104">
        <v>45113</v>
      </c>
      <c r="K140" s="100" t="s">
        <v>482</v>
      </c>
      <c r="L140" s="106">
        <v>45113.023159722223</v>
      </c>
      <c r="M140" s="100">
        <v>62</v>
      </c>
    </row>
    <row r="141" spans="1:13" x14ac:dyDescent="0.3">
      <c r="A141" s="100">
        <v>84</v>
      </c>
      <c r="B141" s="103" t="s">
        <v>356</v>
      </c>
      <c r="C141" s="103" t="s">
        <v>357</v>
      </c>
      <c r="D141" s="99">
        <v>213777</v>
      </c>
      <c r="E141" s="103" t="s">
        <v>266</v>
      </c>
      <c r="F141" s="18">
        <v>35</v>
      </c>
      <c r="G141" s="101">
        <v>223161</v>
      </c>
      <c r="H141" s="100" t="s">
        <v>485</v>
      </c>
      <c r="I141" s="100">
        <v>1</v>
      </c>
      <c r="J141" s="104">
        <v>45113</v>
      </c>
      <c r="K141" s="100" t="s">
        <v>486</v>
      </c>
      <c r="L141" s="106">
        <v>45113.559062499997</v>
      </c>
      <c r="M141" s="100">
        <v>64</v>
      </c>
    </row>
    <row r="142" spans="1:13" x14ac:dyDescent="0.3">
      <c r="A142" s="100">
        <v>85</v>
      </c>
      <c r="B142" s="103" t="s">
        <v>356</v>
      </c>
      <c r="C142" s="103" t="s">
        <v>357</v>
      </c>
      <c r="D142" s="99">
        <v>213777</v>
      </c>
      <c r="E142" s="103" t="s">
        <v>487</v>
      </c>
      <c r="F142" s="18">
        <v>30</v>
      </c>
      <c r="G142" s="101">
        <v>213385</v>
      </c>
      <c r="H142" s="100" t="s">
        <v>488</v>
      </c>
      <c r="I142" s="100">
        <v>1</v>
      </c>
      <c r="J142" s="104">
        <v>45113</v>
      </c>
      <c r="K142" s="100" t="s">
        <v>489</v>
      </c>
      <c r="L142" s="106">
        <v>45113.559525462966</v>
      </c>
      <c r="M142" s="100">
        <v>65</v>
      </c>
    </row>
    <row r="143" spans="1:13" x14ac:dyDescent="0.3">
      <c r="A143" s="100">
        <v>86</v>
      </c>
      <c r="B143" s="103" t="s">
        <v>356</v>
      </c>
      <c r="C143" s="103" t="s">
        <v>357</v>
      </c>
      <c r="D143" s="99">
        <v>213777</v>
      </c>
      <c r="E143" s="103" t="s">
        <v>244</v>
      </c>
      <c r="F143" s="18">
        <v>8</v>
      </c>
      <c r="G143" s="101">
        <v>192249</v>
      </c>
      <c r="H143" s="100" t="s">
        <v>490</v>
      </c>
      <c r="I143" s="100">
        <v>1</v>
      </c>
      <c r="J143" s="104">
        <v>45113</v>
      </c>
      <c r="K143" s="100" t="s">
        <v>491</v>
      </c>
      <c r="L143" s="106">
        <v>45113.611909722225</v>
      </c>
      <c r="M143" s="100">
        <v>66</v>
      </c>
    </row>
    <row r="144" spans="1:13" x14ac:dyDescent="0.3">
      <c r="A144" s="100">
        <v>87</v>
      </c>
      <c r="B144" s="103" t="s">
        <v>356</v>
      </c>
      <c r="C144" s="103" t="s">
        <v>357</v>
      </c>
      <c r="D144" s="99">
        <v>213777</v>
      </c>
      <c r="E144" s="103" t="s">
        <v>244</v>
      </c>
      <c r="F144" s="18">
        <v>8</v>
      </c>
      <c r="G144" s="101">
        <v>192249</v>
      </c>
      <c r="H144" s="100" t="s">
        <v>492</v>
      </c>
      <c r="I144" s="100">
        <v>2</v>
      </c>
      <c r="J144" s="104">
        <v>45113</v>
      </c>
      <c r="K144" s="100" t="s">
        <v>493</v>
      </c>
      <c r="L144" s="106">
        <v>45113.689826388887</v>
      </c>
      <c r="M144" s="100">
        <v>67</v>
      </c>
    </row>
    <row r="145" spans="1:13" x14ac:dyDescent="0.3">
      <c r="A145" s="100">
        <v>88</v>
      </c>
      <c r="B145" s="103" t="s">
        <v>356</v>
      </c>
      <c r="C145" s="103" t="s">
        <v>357</v>
      </c>
      <c r="D145" s="99">
        <v>213777</v>
      </c>
      <c r="E145" s="103" t="s">
        <v>350</v>
      </c>
      <c r="F145" s="18">
        <v>25</v>
      </c>
      <c r="G145" s="101">
        <v>213254</v>
      </c>
      <c r="H145" s="100" t="s">
        <v>494</v>
      </c>
      <c r="I145" s="100">
        <v>1</v>
      </c>
      <c r="J145" s="104">
        <v>45113</v>
      </c>
      <c r="K145" s="100" t="s">
        <v>495</v>
      </c>
      <c r="L145" s="106">
        <v>45113.696261574078</v>
      </c>
      <c r="M145" s="100">
        <v>68</v>
      </c>
    </row>
    <row r="146" spans="1:13" x14ac:dyDescent="0.3">
      <c r="A146" s="100">
        <v>89</v>
      </c>
      <c r="B146" s="103" t="s">
        <v>356</v>
      </c>
      <c r="C146" s="103" t="s">
        <v>357</v>
      </c>
      <c r="D146" s="99">
        <v>213777</v>
      </c>
      <c r="E146" s="103" t="s">
        <v>350</v>
      </c>
      <c r="F146" s="18">
        <v>25</v>
      </c>
      <c r="G146" s="101">
        <v>213254</v>
      </c>
      <c r="H146" s="100" t="s">
        <v>496</v>
      </c>
      <c r="I146" s="100">
        <v>1</v>
      </c>
      <c r="J146" s="104">
        <v>45113</v>
      </c>
      <c r="K146" s="100" t="s">
        <v>497</v>
      </c>
      <c r="L146" s="106">
        <v>45113.709143518521</v>
      </c>
      <c r="M146" s="100">
        <v>69</v>
      </c>
    </row>
    <row r="147" spans="1:13" x14ac:dyDescent="0.3">
      <c r="A147" s="100">
        <v>90</v>
      </c>
      <c r="B147" s="103" t="s">
        <v>356</v>
      </c>
      <c r="C147" s="103" t="s">
        <v>357</v>
      </c>
      <c r="D147" s="99">
        <v>213777</v>
      </c>
      <c r="E147" s="103" t="s">
        <v>350</v>
      </c>
      <c r="F147" s="18">
        <v>25</v>
      </c>
      <c r="G147" s="101">
        <v>213254</v>
      </c>
      <c r="H147" s="100" t="s">
        <v>498</v>
      </c>
      <c r="I147" s="100">
        <v>1</v>
      </c>
      <c r="J147" s="104">
        <v>45113</v>
      </c>
      <c r="K147" s="100" t="s">
        <v>499</v>
      </c>
      <c r="L147" s="106">
        <v>45113.736296296294</v>
      </c>
      <c r="M147" s="100">
        <v>70</v>
      </c>
    </row>
    <row r="148" spans="1:13" x14ac:dyDescent="0.3">
      <c r="A148" s="100">
        <v>91</v>
      </c>
      <c r="B148" s="103" t="s">
        <v>356</v>
      </c>
      <c r="C148" s="103" t="s">
        <v>357</v>
      </c>
      <c r="D148" s="99">
        <v>213777</v>
      </c>
      <c r="E148" s="103" t="s">
        <v>350</v>
      </c>
      <c r="F148" s="18">
        <v>25</v>
      </c>
      <c r="G148" s="101">
        <v>213254</v>
      </c>
      <c r="H148" s="100" t="s">
        <v>500</v>
      </c>
      <c r="I148" s="100">
        <v>0</v>
      </c>
      <c r="J148" s="104">
        <v>45113</v>
      </c>
      <c r="K148" s="100" t="s">
        <v>501</v>
      </c>
      <c r="L148" s="106">
        <v>45113.736863425926</v>
      </c>
      <c r="M148" s="100">
        <v>71</v>
      </c>
    </row>
    <row r="149" spans="1:13" x14ac:dyDescent="0.3">
      <c r="A149" s="100">
        <v>92</v>
      </c>
      <c r="B149" s="103" t="s">
        <v>356</v>
      </c>
      <c r="C149" s="103" t="s">
        <v>357</v>
      </c>
      <c r="D149" s="99">
        <v>213777</v>
      </c>
      <c r="E149" s="103" t="s">
        <v>350</v>
      </c>
      <c r="F149" s="18">
        <v>25</v>
      </c>
      <c r="G149" s="101">
        <v>213254</v>
      </c>
      <c r="H149" s="100" t="s">
        <v>502</v>
      </c>
      <c r="I149" s="100">
        <v>1</v>
      </c>
      <c r="J149" s="104">
        <v>45113</v>
      </c>
      <c r="K149" s="100" t="s">
        <v>503</v>
      </c>
      <c r="L149" s="106">
        <v>45113.738125000003</v>
      </c>
      <c r="M149" s="100">
        <v>72</v>
      </c>
    </row>
    <row r="150" spans="1:13" x14ac:dyDescent="0.3">
      <c r="A150" s="100">
        <v>93</v>
      </c>
      <c r="B150" s="103" t="s">
        <v>356</v>
      </c>
      <c r="C150" s="103" t="s">
        <v>357</v>
      </c>
      <c r="D150" s="99">
        <v>213777</v>
      </c>
      <c r="E150" s="103" t="s">
        <v>350</v>
      </c>
      <c r="F150" s="18">
        <v>25</v>
      </c>
      <c r="G150" s="101">
        <v>213254</v>
      </c>
      <c r="H150" s="100" t="s">
        <v>504</v>
      </c>
      <c r="I150" s="100">
        <v>1</v>
      </c>
      <c r="J150" s="104">
        <v>45113</v>
      </c>
      <c r="K150" s="100" t="s">
        <v>505</v>
      </c>
      <c r="L150" s="106">
        <v>45113.804976851854</v>
      </c>
      <c r="M150" s="100">
        <v>73</v>
      </c>
    </row>
    <row r="151" spans="1:13" x14ac:dyDescent="0.3">
      <c r="A151" s="100">
        <v>94</v>
      </c>
      <c r="B151" s="103" t="s">
        <v>356</v>
      </c>
      <c r="C151" s="103" t="s">
        <v>357</v>
      </c>
      <c r="D151" s="99">
        <v>213777</v>
      </c>
      <c r="E151" s="103" t="s">
        <v>350</v>
      </c>
      <c r="F151" s="18">
        <v>25</v>
      </c>
      <c r="G151" s="101">
        <v>213254</v>
      </c>
      <c r="H151" s="100" t="s">
        <v>506</v>
      </c>
      <c r="I151" s="100">
        <v>1</v>
      </c>
      <c r="J151" s="104">
        <v>45113</v>
      </c>
      <c r="K151" s="100" t="s">
        <v>507</v>
      </c>
      <c r="L151" s="106">
        <v>45113.807083333333</v>
      </c>
      <c r="M151" s="100">
        <v>74</v>
      </c>
    </row>
    <row r="152" spans="1:13" x14ac:dyDescent="0.3">
      <c r="A152" s="100">
        <v>95</v>
      </c>
      <c r="B152" s="103" t="s">
        <v>356</v>
      </c>
      <c r="C152" s="103" t="s">
        <v>357</v>
      </c>
      <c r="D152" s="99">
        <v>213777</v>
      </c>
      <c r="E152" s="103" t="s">
        <v>350</v>
      </c>
      <c r="F152" s="18">
        <v>25</v>
      </c>
      <c r="G152" s="101">
        <v>213254</v>
      </c>
      <c r="H152" s="100" t="s">
        <v>508</v>
      </c>
      <c r="I152" s="100">
        <v>2</v>
      </c>
      <c r="J152" s="104">
        <v>45113</v>
      </c>
      <c r="K152" s="100" t="s">
        <v>509</v>
      </c>
      <c r="L152" s="106">
        <v>45113.898553240739</v>
      </c>
      <c r="M152" s="100">
        <v>75</v>
      </c>
    </row>
    <row r="153" spans="1:13" x14ac:dyDescent="0.3">
      <c r="A153" s="100">
        <v>96</v>
      </c>
      <c r="B153" s="103" t="s">
        <v>356</v>
      </c>
      <c r="C153" s="103" t="s">
        <v>357</v>
      </c>
      <c r="D153" s="99">
        <v>213777</v>
      </c>
      <c r="E153" s="103" t="s">
        <v>350</v>
      </c>
      <c r="F153" s="18">
        <v>25</v>
      </c>
      <c r="G153" s="101">
        <v>213254</v>
      </c>
      <c r="H153" s="100" t="s">
        <v>510</v>
      </c>
      <c r="I153" s="100">
        <v>0</v>
      </c>
      <c r="J153" s="104">
        <v>45113</v>
      </c>
      <c r="K153" s="100" t="s">
        <v>511</v>
      </c>
      <c r="L153" s="106">
        <v>45113.899108796293</v>
      </c>
      <c r="M153" s="100">
        <v>76</v>
      </c>
    </row>
    <row r="154" spans="1:13" x14ac:dyDescent="0.3">
      <c r="A154" s="100">
        <v>97</v>
      </c>
      <c r="B154" s="103" t="s">
        <v>356</v>
      </c>
      <c r="C154" s="103" t="s">
        <v>357</v>
      </c>
      <c r="D154" s="99">
        <v>213777</v>
      </c>
      <c r="E154" s="103" t="s">
        <v>229</v>
      </c>
      <c r="F154" s="18">
        <v>37</v>
      </c>
      <c r="G154" s="101">
        <v>223220</v>
      </c>
      <c r="H154" s="100" t="s">
        <v>512</v>
      </c>
      <c r="I154" s="100">
        <v>1</v>
      </c>
      <c r="J154" s="104">
        <v>45113</v>
      </c>
      <c r="K154" s="100" t="s">
        <v>513</v>
      </c>
      <c r="L154" s="106">
        <v>45113.923425925925</v>
      </c>
      <c r="M154" s="100">
        <v>77</v>
      </c>
    </row>
    <row r="155" spans="1:13" x14ac:dyDescent="0.3">
      <c r="A155" s="100">
        <v>98</v>
      </c>
      <c r="B155" s="103" t="s">
        <v>356</v>
      </c>
      <c r="C155" s="103" t="s">
        <v>357</v>
      </c>
      <c r="D155" s="99">
        <v>213777</v>
      </c>
      <c r="E155" s="103" t="s">
        <v>514</v>
      </c>
      <c r="F155" s="18">
        <v>28</v>
      </c>
      <c r="G155" s="101">
        <v>213327</v>
      </c>
      <c r="H155" s="100" t="s">
        <v>515</v>
      </c>
      <c r="I155" s="100">
        <v>1</v>
      </c>
      <c r="J155" s="104">
        <v>45113</v>
      </c>
      <c r="K155" s="100" t="s">
        <v>516</v>
      </c>
      <c r="L155" s="106">
        <v>45113.931550925925</v>
      </c>
      <c r="M155" s="100">
        <v>78</v>
      </c>
    </row>
    <row r="156" spans="1:13" x14ac:dyDescent="0.3">
      <c r="A156" s="100">
        <v>99</v>
      </c>
      <c r="B156" s="103" t="s">
        <v>356</v>
      </c>
      <c r="C156" s="103" t="s">
        <v>357</v>
      </c>
      <c r="D156" s="99">
        <v>213777</v>
      </c>
      <c r="E156" s="103" t="s">
        <v>232</v>
      </c>
      <c r="F156" s="18">
        <v>5</v>
      </c>
      <c r="G156" s="101">
        <v>192072</v>
      </c>
      <c r="H156" s="100" t="s">
        <v>517</v>
      </c>
      <c r="I156" s="100">
        <v>0</v>
      </c>
      <c r="J156" s="104">
        <v>45114</v>
      </c>
      <c r="K156" s="100" t="s">
        <v>518</v>
      </c>
      <c r="L156" s="106">
        <v>45114.008761574078</v>
      </c>
      <c r="M156" s="100">
        <v>79</v>
      </c>
    </row>
    <row r="157" spans="1:13" x14ac:dyDescent="0.3">
      <c r="A157" s="100">
        <v>100</v>
      </c>
      <c r="B157" s="103" t="s">
        <v>356</v>
      </c>
      <c r="C157" s="103" t="s">
        <v>357</v>
      </c>
      <c r="D157" s="99">
        <v>213777</v>
      </c>
      <c r="E157" s="103" t="s">
        <v>254</v>
      </c>
      <c r="F157" s="18">
        <v>17</v>
      </c>
      <c r="G157" s="101">
        <v>202290</v>
      </c>
      <c r="H157" s="100" t="s">
        <v>519</v>
      </c>
      <c r="I157" s="100">
        <v>1</v>
      </c>
      <c r="J157" s="104">
        <v>45114</v>
      </c>
      <c r="K157" s="100" t="s">
        <v>520</v>
      </c>
      <c r="L157" s="106">
        <v>45114.047384259262</v>
      </c>
      <c r="M157" s="100">
        <v>80</v>
      </c>
    </row>
    <row r="158" spans="1:13" x14ac:dyDescent="0.3">
      <c r="A158" s="100">
        <v>101</v>
      </c>
      <c r="B158" s="103" t="s">
        <v>356</v>
      </c>
      <c r="C158" s="103" t="s">
        <v>357</v>
      </c>
      <c r="D158" s="99">
        <v>213777</v>
      </c>
      <c r="E158" s="103" t="s">
        <v>241</v>
      </c>
      <c r="F158" s="18">
        <v>38</v>
      </c>
      <c r="G158" s="101">
        <v>223223</v>
      </c>
      <c r="H158" s="100" t="s">
        <v>521</v>
      </c>
      <c r="I158" s="100">
        <v>0</v>
      </c>
      <c r="J158" s="104">
        <v>45114</v>
      </c>
      <c r="K158" s="100" t="s">
        <v>522</v>
      </c>
      <c r="L158" s="106">
        <v>45114.053159722222</v>
      </c>
      <c r="M158" s="100">
        <v>81</v>
      </c>
    </row>
    <row r="159" spans="1:13" x14ac:dyDescent="0.3">
      <c r="A159" s="100">
        <v>102</v>
      </c>
      <c r="B159" s="103" t="s">
        <v>356</v>
      </c>
      <c r="C159" s="103" t="s">
        <v>357</v>
      </c>
      <c r="D159" s="99">
        <v>213777</v>
      </c>
      <c r="E159" s="103" t="s">
        <v>241</v>
      </c>
      <c r="F159" s="18">
        <v>38</v>
      </c>
      <c r="G159" s="101">
        <v>223223</v>
      </c>
      <c r="H159" s="100" t="s">
        <v>523</v>
      </c>
      <c r="I159" s="100">
        <v>1</v>
      </c>
      <c r="J159" s="104">
        <v>45114</v>
      </c>
      <c r="K159" s="100" t="s">
        <v>524</v>
      </c>
      <c r="L159" s="106">
        <v>45114.057280092595</v>
      </c>
      <c r="M159" s="100">
        <v>82</v>
      </c>
    </row>
    <row r="160" spans="1:13" x14ac:dyDescent="0.3">
      <c r="A160" s="100">
        <v>103</v>
      </c>
      <c r="B160" s="103" t="s">
        <v>356</v>
      </c>
      <c r="C160" s="103" t="s">
        <v>357</v>
      </c>
      <c r="D160" s="99">
        <v>213777</v>
      </c>
      <c r="E160" s="103" t="s">
        <v>241</v>
      </c>
      <c r="F160" s="18">
        <v>38</v>
      </c>
      <c r="G160" s="101">
        <v>223223</v>
      </c>
      <c r="H160" s="100" t="s">
        <v>525</v>
      </c>
      <c r="I160" s="100">
        <v>1</v>
      </c>
      <c r="J160" s="104">
        <v>45114</v>
      </c>
      <c r="K160" s="100" t="s">
        <v>526</v>
      </c>
      <c r="L160" s="106">
        <v>45114.058819444443</v>
      </c>
      <c r="M160" s="100">
        <v>83</v>
      </c>
    </row>
    <row r="161" spans="1:13" x14ac:dyDescent="0.3">
      <c r="A161" s="100">
        <v>104</v>
      </c>
      <c r="B161" s="103" t="s">
        <v>356</v>
      </c>
      <c r="C161" s="103" t="s">
        <v>357</v>
      </c>
      <c r="D161" s="99">
        <v>213777</v>
      </c>
      <c r="E161" s="103" t="s">
        <v>254</v>
      </c>
      <c r="F161" s="18">
        <v>17</v>
      </c>
      <c r="G161" s="101">
        <v>202290</v>
      </c>
      <c r="H161" s="100" t="s">
        <v>527</v>
      </c>
      <c r="I161" s="100">
        <v>1</v>
      </c>
      <c r="J161" s="104">
        <v>45114</v>
      </c>
      <c r="K161" s="100" t="s">
        <v>528</v>
      </c>
      <c r="L161" s="106">
        <v>45114.061168981483</v>
      </c>
      <c r="M161" s="100">
        <v>84</v>
      </c>
    </row>
    <row r="162" spans="1:13" x14ac:dyDescent="0.3">
      <c r="A162" s="100">
        <v>105</v>
      </c>
      <c r="B162" s="103" t="s">
        <v>356</v>
      </c>
      <c r="C162" s="103" t="s">
        <v>357</v>
      </c>
      <c r="D162" s="99">
        <v>213777</v>
      </c>
      <c r="E162" s="103" t="s">
        <v>254</v>
      </c>
      <c r="F162" s="18">
        <v>17</v>
      </c>
      <c r="G162" s="101">
        <v>202290</v>
      </c>
      <c r="H162" s="100" t="s">
        <v>529</v>
      </c>
      <c r="I162" s="100">
        <v>1</v>
      </c>
      <c r="J162" s="104">
        <v>45114</v>
      </c>
      <c r="K162" s="100" t="s">
        <v>530</v>
      </c>
      <c r="L162" s="106">
        <v>45114.064618055556</v>
      </c>
      <c r="M162" s="100">
        <v>85</v>
      </c>
    </row>
    <row r="163" spans="1:13" x14ac:dyDescent="0.3">
      <c r="A163" s="100">
        <v>106</v>
      </c>
      <c r="B163" s="103" t="s">
        <v>356</v>
      </c>
      <c r="C163" s="103" t="s">
        <v>357</v>
      </c>
      <c r="D163" s="99">
        <v>213777</v>
      </c>
      <c r="E163" s="103" t="s">
        <v>254</v>
      </c>
      <c r="F163" s="18">
        <v>17</v>
      </c>
      <c r="G163" s="101">
        <v>202290</v>
      </c>
      <c r="H163" s="100" t="s">
        <v>531</v>
      </c>
      <c r="I163" s="100">
        <v>1</v>
      </c>
      <c r="J163" s="104">
        <v>45114</v>
      </c>
      <c r="K163" s="100" t="s">
        <v>532</v>
      </c>
      <c r="L163" s="106">
        <v>45114.105231481481</v>
      </c>
      <c r="M163" s="100">
        <v>86</v>
      </c>
    </row>
    <row r="164" spans="1:13" x14ac:dyDescent="0.3">
      <c r="A164" s="100">
        <v>107</v>
      </c>
      <c r="B164" s="103" t="s">
        <v>356</v>
      </c>
      <c r="C164" s="103" t="s">
        <v>357</v>
      </c>
      <c r="D164" s="99">
        <v>213777</v>
      </c>
      <c r="E164" s="103" t="s">
        <v>254</v>
      </c>
      <c r="F164" s="18">
        <v>17</v>
      </c>
      <c r="G164" s="101">
        <v>202290</v>
      </c>
      <c r="H164" s="100" t="s">
        <v>533</v>
      </c>
      <c r="I164" s="100">
        <v>1</v>
      </c>
      <c r="J164" s="104">
        <v>45114</v>
      </c>
      <c r="K164" s="100" t="s">
        <v>534</v>
      </c>
      <c r="L164" s="106">
        <v>45114.132245370369</v>
      </c>
      <c r="M164" s="100">
        <v>87</v>
      </c>
    </row>
    <row r="165" spans="1:13" x14ac:dyDescent="0.3">
      <c r="A165" s="100">
        <v>109</v>
      </c>
      <c r="B165" s="103" t="s">
        <v>356</v>
      </c>
      <c r="C165" s="103" t="s">
        <v>357</v>
      </c>
      <c r="D165" s="99">
        <v>213777</v>
      </c>
      <c r="E165" s="103" t="s">
        <v>241</v>
      </c>
      <c r="F165" s="18">
        <v>38</v>
      </c>
      <c r="G165" s="101">
        <v>223223</v>
      </c>
      <c r="H165" s="100" t="s">
        <v>537</v>
      </c>
      <c r="I165" s="100">
        <v>1</v>
      </c>
      <c r="J165" s="104">
        <v>45114</v>
      </c>
      <c r="K165" s="100" t="s">
        <v>538</v>
      </c>
      <c r="L165" s="106">
        <v>45114.238541666666</v>
      </c>
      <c r="M165" s="100">
        <v>89</v>
      </c>
    </row>
    <row r="166" spans="1:13" x14ac:dyDescent="0.3">
      <c r="A166" s="100">
        <v>110</v>
      </c>
      <c r="B166" s="103" t="s">
        <v>356</v>
      </c>
      <c r="C166" s="103" t="s">
        <v>357</v>
      </c>
      <c r="D166" s="99">
        <v>213777</v>
      </c>
      <c r="E166" s="103" t="s">
        <v>241</v>
      </c>
      <c r="F166" s="18">
        <v>38</v>
      </c>
      <c r="G166" s="101">
        <v>223223</v>
      </c>
      <c r="H166" s="100" t="s">
        <v>539</v>
      </c>
      <c r="I166" s="100">
        <v>3</v>
      </c>
      <c r="J166" s="104">
        <v>45114</v>
      </c>
      <c r="K166" s="100" t="s">
        <v>540</v>
      </c>
      <c r="L166" s="106">
        <v>45114.239166666666</v>
      </c>
      <c r="M166" s="100">
        <v>90</v>
      </c>
    </row>
    <row r="167" spans="1:13" x14ac:dyDescent="0.3">
      <c r="A167" s="100">
        <v>111</v>
      </c>
      <c r="B167" s="103" t="s">
        <v>356</v>
      </c>
      <c r="C167" s="103" t="s">
        <v>357</v>
      </c>
      <c r="D167" s="99">
        <v>213777</v>
      </c>
      <c r="E167" s="103" t="s">
        <v>254</v>
      </c>
      <c r="F167" s="18">
        <v>17</v>
      </c>
      <c r="G167" s="101">
        <v>202290</v>
      </c>
      <c r="H167" s="100" t="s">
        <v>541</v>
      </c>
      <c r="I167" s="100">
        <v>1</v>
      </c>
      <c r="J167" s="104">
        <v>45114</v>
      </c>
      <c r="K167" s="100" t="s">
        <v>542</v>
      </c>
      <c r="L167" s="106">
        <v>45114.412766203706</v>
      </c>
      <c r="M167" s="100">
        <v>91</v>
      </c>
    </row>
    <row r="168" spans="1:13" x14ac:dyDescent="0.3">
      <c r="A168" s="100">
        <v>112</v>
      </c>
      <c r="B168" s="103" t="s">
        <v>356</v>
      </c>
      <c r="C168" s="103" t="s">
        <v>357</v>
      </c>
      <c r="D168" s="99">
        <v>213777</v>
      </c>
      <c r="E168" s="103" t="s">
        <v>254</v>
      </c>
      <c r="F168" s="18">
        <v>17</v>
      </c>
      <c r="G168" s="101">
        <v>202290</v>
      </c>
      <c r="H168" s="100" t="s">
        <v>543</v>
      </c>
      <c r="I168" s="100">
        <v>0</v>
      </c>
      <c r="J168" s="104">
        <v>45114</v>
      </c>
      <c r="K168" s="100" t="s">
        <v>544</v>
      </c>
      <c r="L168" s="106">
        <v>45114.448020833333</v>
      </c>
      <c r="M168" s="100">
        <v>92</v>
      </c>
    </row>
    <row r="169" spans="1:13" x14ac:dyDescent="0.3">
      <c r="A169" s="100">
        <v>113</v>
      </c>
      <c r="B169" s="103" t="s">
        <v>356</v>
      </c>
      <c r="C169" s="103" t="s">
        <v>357</v>
      </c>
      <c r="D169" s="99">
        <v>213777</v>
      </c>
      <c r="E169" s="103" t="s">
        <v>185</v>
      </c>
      <c r="F169" s="18">
        <v>4</v>
      </c>
      <c r="G169" s="101">
        <v>192010</v>
      </c>
      <c r="H169" s="100" t="s">
        <v>545</v>
      </c>
      <c r="I169" s="100">
        <v>2</v>
      </c>
      <c r="J169" s="104">
        <v>45114</v>
      </c>
      <c r="K169" s="100" t="s">
        <v>546</v>
      </c>
      <c r="L169" s="106">
        <v>45114.606770833336</v>
      </c>
      <c r="M169" s="100">
        <v>93</v>
      </c>
    </row>
    <row r="170" spans="1:13" x14ac:dyDescent="0.3">
      <c r="A170" s="100">
        <v>114</v>
      </c>
      <c r="B170" s="103" t="s">
        <v>356</v>
      </c>
      <c r="C170" s="103" t="s">
        <v>357</v>
      </c>
      <c r="D170" s="99">
        <v>213777</v>
      </c>
      <c r="E170" s="103" t="s">
        <v>353</v>
      </c>
      <c r="F170" s="18">
        <v>47</v>
      </c>
      <c r="G170" s="101">
        <v>223437</v>
      </c>
      <c r="H170" s="100" t="s">
        <v>547</v>
      </c>
      <c r="I170" s="100">
        <v>1</v>
      </c>
      <c r="J170" s="104">
        <v>45115</v>
      </c>
      <c r="K170" s="100" t="s">
        <v>548</v>
      </c>
      <c r="L170" s="106">
        <v>45115.023969907408</v>
      </c>
      <c r="M170" s="100">
        <v>94</v>
      </c>
    </row>
    <row r="171" spans="1:13" x14ac:dyDescent="0.3">
      <c r="A171" s="100">
        <v>115</v>
      </c>
      <c r="B171" s="103" t="s">
        <v>356</v>
      </c>
      <c r="C171" s="103" t="s">
        <v>357</v>
      </c>
      <c r="D171" s="99">
        <v>213777</v>
      </c>
      <c r="E171" s="103" t="s">
        <v>353</v>
      </c>
      <c r="F171" s="18">
        <v>47</v>
      </c>
      <c r="G171" s="101">
        <v>223437</v>
      </c>
      <c r="H171" s="100" t="s">
        <v>549</v>
      </c>
      <c r="I171" s="100">
        <v>1</v>
      </c>
      <c r="J171" s="104">
        <v>45115</v>
      </c>
      <c r="K171" s="100" t="s">
        <v>550</v>
      </c>
      <c r="L171" s="106">
        <v>45115.047106481485</v>
      </c>
      <c r="M171" s="100">
        <v>95</v>
      </c>
    </row>
    <row r="172" spans="1:13" x14ac:dyDescent="0.3">
      <c r="A172" s="100">
        <v>116</v>
      </c>
      <c r="B172" s="103" t="s">
        <v>356</v>
      </c>
      <c r="C172" s="103" t="s">
        <v>357</v>
      </c>
      <c r="D172" s="99">
        <v>213777</v>
      </c>
      <c r="E172" s="103" t="s">
        <v>353</v>
      </c>
      <c r="F172" s="18">
        <v>47</v>
      </c>
      <c r="G172" s="101">
        <v>223437</v>
      </c>
      <c r="H172" s="100" t="s">
        <v>551</v>
      </c>
      <c r="I172" s="100">
        <v>0</v>
      </c>
      <c r="J172" s="104">
        <v>45115</v>
      </c>
      <c r="K172" s="100" t="s">
        <v>552</v>
      </c>
      <c r="L172" s="106">
        <v>45115.048750000002</v>
      </c>
      <c r="M172" s="100">
        <v>96</v>
      </c>
    </row>
    <row r="173" spans="1:13" x14ac:dyDescent="0.3">
      <c r="A173" s="100">
        <v>117</v>
      </c>
      <c r="B173" s="103" t="s">
        <v>356</v>
      </c>
      <c r="C173" s="103" t="s">
        <v>357</v>
      </c>
      <c r="D173" s="99">
        <v>213777</v>
      </c>
      <c r="E173" s="103" t="s">
        <v>353</v>
      </c>
      <c r="F173" s="18">
        <v>47</v>
      </c>
      <c r="G173" s="101">
        <v>223437</v>
      </c>
      <c r="H173" s="100" t="s">
        <v>553</v>
      </c>
      <c r="I173" s="100">
        <v>0</v>
      </c>
      <c r="J173" s="104">
        <v>45115</v>
      </c>
      <c r="K173" s="100" t="s">
        <v>554</v>
      </c>
      <c r="L173" s="106">
        <v>45115.054247685184</v>
      </c>
      <c r="M173" s="100">
        <v>97</v>
      </c>
    </row>
    <row r="174" spans="1:13" x14ac:dyDescent="0.3">
      <c r="A174" s="100">
        <v>16</v>
      </c>
      <c r="B174" s="103" t="s">
        <v>555</v>
      </c>
      <c r="C174" s="103" t="s">
        <v>556</v>
      </c>
      <c r="D174" s="99">
        <v>213668</v>
      </c>
      <c r="E174" s="103" t="s">
        <v>557</v>
      </c>
      <c r="F174" s="18">
        <v>42</v>
      </c>
      <c r="G174" s="101">
        <v>223292</v>
      </c>
      <c r="H174" s="100" t="s">
        <v>558</v>
      </c>
      <c r="I174" s="100">
        <v>1</v>
      </c>
      <c r="J174" s="104">
        <v>45111</v>
      </c>
      <c r="K174" s="100" t="s">
        <v>559</v>
      </c>
      <c r="L174" s="106">
        <v>45111.357199074075</v>
      </c>
      <c r="M174" s="100">
        <v>1</v>
      </c>
    </row>
    <row r="175" spans="1:13" x14ac:dyDescent="0.3">
      <c r="A175" s="100">
        <v>17</v>
      </c>
      <c r="B175" s="103" t="s">
        <v>555</v>
      </c>
      <c r="C175" s="103" t="s">
        <v>556</v>
      </c>
      <c r="D175" s="99">
        <v>213668</v>
      </c>
      <c r="E175" s="103" t="s">
        <v>560</v>
      </c>
      <c r="F175" s="18">
        <v>29</v>
      </c>
      <c r="G175" s="101">
        <v>213348</v>
      </c>
      <c r="H175" s="100" t="s">
        <v>561</v>
      </c>
      <c r="I175" s="100">
        <v>0</v>
      </c>
      <c r="J175" s="104">
        <v>45112</v>
      </c>
      <c r="K175" s="100" t="s">
        <v>562</v>
      </c>
      <c r="L175" s="106">
        <v>45112.481898148151</v>
      </c>
      <c r="M175" s="100">
        <v>2</v>
      </c>
    </row>
    <row r="176" spans="1:13" x14ac:dyDescent="0.3">
      <c r="A176" s="100">
        <v>18</v>
      </c>
      <c r="B176" s="103" t="s">
        <v>555</v>
      </c>
      <c r="C176" s="103" t="s">
        <v>556</v>
      </c>
      <c r="D176" s="99">
        <v>213668</v>
      </c>
      <c r="E176" s="103" t="s">
        <v>560</v>
      </c>
      <c r="F176" s="18">
        <v>29</v>
      </c>
      <c r="G176" s="101">
        <v>213348</v>
      </c>
      <c r="H176" s="100" t="s">
        <v>563</v>
      </c>
      <c r="I176" s="100">
        <v>1</v>
      </c>
      <c r="J176" s="104">
        <v>45112</v>
      </c>
      <c r="K176" s="100" t="s">
        <v>564</v>
      </c>
      <c r="L176" s="106">
        <v>45112.49728009259</v>
      </c>
      <c r="M176" s="100">
        <v>3</v>
      </c>
    </row>
    <row r="177" spans="1:13" x14ac:dyDescent="0.3">
      <c r="A177" s="100">
        <v>19</v>
      </c>
      <c r="B177" s="103" t="s">
        <v>555</v>
      </c>
      <c r="C177" s="103" t="s">
        <v>556</v>
      </c>
      <c r="D177" s="99">
        <v>213668</v>
      </c>
      <c r="E177" s="103" t="s">
        <v>560</v>
      </c>
      <c r="F177" s="18">
        <v>29</v>
      </c>
      <c r="G177" s="101">
        <v>213348</v>
      </c>
      <c r="H177" s="100" t="s">
        <v>565</v>
      </c>
      <c r="I177" s="100">
        <v>1</v>
      </c>
      <c r="J177" s="104">
        <v>45112</v>
      </c>
      <c r="K177" s="100" t="s">
        <v>566</v>
      </c>
      <c r="L177" s="106">
        <v>45112.497569444444</v>
      </c>
      <c r="M177" s="100">
        <v>4</v>
      </c>
    </row>
    <row r="178" spans="1:13" x14ac:dyDescent="0.3">
      <c r="A178" s="100">
        <v>20</v>
      </c>
      <c r="B178" s="103" t="s">
        <v>555</v>
      </c>
      <c r="C178" s="103" t="s">
        <v>556</v>
      </c>
      <c r="D178" s="99">
        <v>213668</v>
      </c>
      <c r="E178" s="103" t="s">
        <v>560</v>
      </c>
      <c r="F178" s="18">
        <v>29</v>
      </c>
      <c r="G178" s="101">
        <v>213348</v>
      </c>
      <c r="H178" s="100" t="s">
        <v>567</v>
      </c>
      <c r="I178" s="100">
        <v>2</v>
      </c>
      <c r="J178" s="104">
        <v>45112</v>
      </c>
      <c r="K178" s="100" t="s">
        <v>568</v>
      </c>
      <c r="L178" s="106">
        <v>45112.497708333336</v>
      </c>
      <c r="M178" s="100">
        <v>5</v>
      </c>
    </row>
    <row r="179" spans="1:13" x14ac:dyDescent="0.3">
      <c r="A179" s="100">
        <v>21</v>
      </c>
      <c r="B179" s="103" t="s">
        <v>555</v>
      </c>
      <c r="C179" s="103" t="s">
        <v>556</v>
      </c>
      <c r="D179" s="99">
        <v>213668</v>
      </c>
      <c r="E179" s="103" t="s">
        <v>560</v>
      </c>
      <c r="F179" s="18">
        <v>29</v>
      </c>
      <c r="G179" s="101">
        <v>213348</v>
      </c>
      <c r="H179" s="100" t="s">
        <v>569</v>
      </c>
      <c r="I179" s="100">
        <v>1</v>
      </c>
      <c r="J179" s="104">
        <v>45112</v>
      </c>
      <c r="K179" s="100" t="s">
        <v>570</v>
      </c>
      <c r="L179" s="106">
        <v>45112.49895833333</v>
      </c>
      <c r="M179" s="100">
        <v>6</v>
      </c>
    </row>
    <row r="180" spans="1:13" x14ac:dyDescent="0.3">
      <c r="A180" s="100">
        <v>22</v>
      </c>
      <c r="B180" s="103" t="s">
        <v>555</v>
      </c>
      <c r="C180" s="103" t="s">
        <v>556</v>
      </c>
      <c r="D180" s="99">
        <v>213668</v>
      </c>
      <c r="E180" s="103" t="s">
        <v>560</v>
      </c>
      <c r="F180" s="18">
        <v>29</v>
      </c>
      <c r="G180" s="101">
        <v>213348</v>
      </c>
      <c r="H180" s="100" t="s">
        <v>571</v>
      </c>
      <c r="I180" s="100">
        <v>2</v>
      </c>
      <c r="J180" s="104">
        <v>45112</v>
      </c>
      <c r="K180" s="100" t="s">
        <v>572</v>
      </c>
      <c r="L180" s="106">
        <v>45112.503240740742</v>
      </c>
      <c r="M180" s="100">
        <v>7</v>
      </c>
    </row>
    <row r="181" spans="1:13" x14ac:dyDescent="0.3">
      <c r="A181" s="100">
        <v>23</v>
      </c>
      <c r="B181" s="103" t="s">
        <v>555</v>
      </c>
      <c r="C181" s="103" t="s">
        <v>556</v>
      </c>
      <c r="D181" s="99">
        <v>213668</v>
      </c>
      <c r="E181" s="103" t="s">
        <v>560</v>
      </c>
      <c r="F181" s="18">
        <v>29</v>
      </c>
      <c r="G181" s="101">
        <v>213348</v>
      </c>
      <c r="H181" s="100" t="s">
        <v>573</v>
      </c>
      <c r="I181" s="100">
        <v>0</v>
      </c>
      <c r="J181" s="104">
        <v>45112</v>
      </c>
      <c r="K181" s="100" t="s">
        <v>83</v>
      </c>
      <c r="L181" s="106">
        <v>45112.512696759259</v>
      </c>
      <c r="M181" s="100">
        <v>8</v>
      </c>
    </row>
    <row r="182" spans="1:13" x14ac:dyDescent="0.3">
      <c r="A182" s="100">
        <v>24</v>
      </c>
      <c r="B182" s="103" t="s">
        <v>555</v>
      </c>
      <c r="C182" s="103" t="s">
        <v>556</v>
      </c>
      <c r="D182" s="99">
        <v>213668</v>
      </c>
      <c r="E182" s="103" t="s">
        <v>560</v>
      </c>
      <c r="F182" s="18">
        <v>29</v>
      </c>
      <c r="G182" s="101">
        <v>213348</v>
      </c>
      <c r="H182" s="100" t="s">
        <v>574</v>
      </c>
      <c r="I182" s="100">
        <v>1</v>
      </c>
      <c r="J182" s="104">
        <v>45112</v>
      </c>
      <c r="K182" s="100" t="s">
        <v>575</v>
      </c>
      <c r="L182" s="106">
        <v>45112.54347222222</v>
      </c>
      <c r="M182" s="100">
        <v>9</v>
      </c>
    </row>
    <row r="183" spans="1:13" x14ac:dyDescent="0.3">
      <c r="A183" s="100">
        <v>25</v>
      </c>
      <c r="B183" s="103" t="s">
        <v>555</v>
      </c>
      <c r="C183" s="103" t="s">
        <v>556</v>
      </c>
      <c r="D183" s="99">
        <v>213668</v>
      </c>
      <c r="E183" s="103" t="s">
        <v>560</v>
      </c>
      <c r="F183" s="18">
        <v>29</v>
      </c>
      <c r="G183" s="101">
        <v>213348</v>
      </c>
      <c r="H183" s="100" t="s">
        <v>576</v>
      </c>
      <c r="I183" s="100">
        <v>1</v>
      </c>
      <c r="J183" s="104">
        <v>45112</v>
      </c>
      <c r="K183" s="100" t="s">
        <v>577</v>
      </c>
      <c r="L183" s="106">
        <v>45112.543495370373</v>
      </c>
      <c r="M183" s="100">
        <v>10</v>
      </c>
    </row>
    <row r="184" spans="1:13" x14ac:dyDescent="0.3">
      <c r="A184" s="100">
        <v>26</v>
      </c>
      <c r="B184" s="103" t="s">
        <v>555</v>
      </c>
      <c r="C184" s="103" t="s">
        <v>556</v>
      </c>
      <c r="D184" s="99">
        <v>213668</v>
      </c>
      <c r="E184" s="103" t="s">
        <v>560</v>
      </c>
      <c r="F184" s="18">
        <v>29</v>
      </c>
      <c r="G184" s="101">
        <v>213348</v>
      </c>
      <c r="H184" s="100" t="s">
        <v>578</v>
      </c>
      <c r="I184" s="100">
        <v>1</v>
      </c>
      <c r="J184" s="104">
        <v>45112</v>
      </c>
      <c r="K184" s="100" t="s">
        <v>579</v>
      </c>
      <c r="L184" s="106">
        <v>45112.584583333337</v>
      </c>
      <c r="M184" s="100">
        <v>11</v>
      </c>
    </row>
    <row r="185" spans="1:13" x14ac:dyDescent="0.3">
      <c r="A185" s="100">
        <v>27</v>
      </c>
      <c r="B185" s="103" t="s">
        <v>555</v>
      </c>
      <c r="C185" s="103" t="s">
        <v>556</v>
      </c>
      <c r="D185" s="99">
        <v>213668</v>
      </c>
      <c r="E185" s="103" t="s">
        <v>560</v>
      </c>
      <c r="F185" s="18">
        <v>29</v>
      </c>
      <c r="G185" s="101">
        <v>213348</v>
      </c>
      <c r="H185" s="100" t="s">
        <v>580</v>
      </c>
      <c r="I185" s="100">
        <v>1</v>
      </c>
      <c r="J185" s="104">
        <v>45112</v>
      </c>
      <c r="K185" s="100" t="s">
        <v>581</v>
      </c>
      <c r="L185" s="106">
        <v>45112.601030092592</v>
      </c>
      <c r="M185" s="100">
        <v>12</v>
      </c>
    </row>
    <row r="186" spans="1:13" x14ac:dyDescent="0.3">
      <c r="A186" s="100">
        <v>28</v>
      </c>
      <c r="B186" s="103" t="s">
        <v>555</v>
      </c>
      <c r="C186" s="103" t="s">
        <v>556</v>
      </c>
      <c r="D186" s="99">
        <v>213668</v>
      </c>
      <c r="E186" s="103" t="s">
        <v>560</v>
      </c>
      <c r="F186" s="18">
        <v>29</v>
      </c>
      <c r="G186" s="101">
        <v>213348</v>
      </c>
      <c r="H186" s="100" t="s">
        <v>582</v>
      </c>
      <c r="I186" s="100">
        <v>1</v>
      </c>
      <c r="J186" s="104">
        <v>45112</v>
      </c>
      <c r="K186" s="100" t="s">
        <v>583</v>
      </c>
      <c r="L186" s="106">
        <v>45112.606539351851</v>
      </c>
      <c r="M186" s="100">
        <v>13</v>
      </c>
    </row>
    <row r="187" spans="1:13" x14ac:dyDescent="0.3">
      <c r="A187" s="100">
        <v>29</v>
      </c>
      <c r="B187" s="103" t="s">
        <v>555</v>
      </c>
      <c r="C187" s="103" t="s">
        <v>556</v>
      </c>
      <c r="D187" s="99">
        <v>213668</v>
      </c>
      <c r="E187" s="103" t="s">
        <v>560</v>
      </c>
      <c r="F187" s="18">
        <v>29</v>
      </c>
      <c r="G187" s="101">
        <v>213348</v>
      </c>
      <c r="H187" s="100" t="s">
        <v>584</v>
      </c>
      <c r="I187" s="100">
        <v>1</v>
      </c>
      <c r="J187" s="104">
        <v>45112</v>
      </c>
      <c r="K187" s="100" t="s">
        <v>585</v>
      </c>
      <c r="L187" s="106">
        <v>45112.615416666667</v>
      </c>
      <c r="M187" s="100">
        <v>14</v>
      </c>
    </row>
    <row r="188" spans="1:13" x14ac:dyDescent="0.3">
      <c r="A188" s="100">
        <v>30</v>
      </c>
      <c r="B188" s="103" t="s">
        <v>555</v>
      </c>
      <c r="C188" s="103" t="s">
        <v>556</v>
      </c>
      <c r="D188" s="99">
        <v>213668</v>
      </c>
      <c r="E188" s="103" t="s">
        <v>560</v>
      </c>
      <c r="F188" s="18">
        <v>29</v>
      </c>
      <c r="G188" s="101">
        <v>213348</v>
      </c>
      <c r="H188" s="100" t="s">
        <v>586</v>
      </c>
      <c r="I188" s="100">
        <v>1</v>
      </c>
      <c r="J188" s="104">
        <v>45112</v>
      </c>
      <c r="K188" s="100" t="s">
        <v>587</v>
      </c>
      <c r="L188" s="106">
        <v>45112.615694444445</v>
      </c>
      <c r="M188" s="100">
        <v>15</v>
      </c>
    </row>
    <row r="189" spans="1:13" x14ac:dyDescent="0.3">
      <c r="A189" s="100">
        <v>31</v>
      </c>
      <c r="B189" s="103" t="s">
        <v>555</v>
      </c>
      <c r="C189" s="103" t="s">
        <v>556</v>
      </c>
      <c r="D189" s="99">
        <v>213668</v>
      </c>
      <c r="E189" s="103" t="s">
        <v>560</v>
      </c>
      <c r="F189" s="18">
        <v>29</v>
      </c>
      <c r="G189" s="101">
        <v>213348</v>
      </c>
      <c r="H189" s="100" t="s">
        <v>588</v>
      </c>
      <c r="I189" s="100">
        <v>0</v>
      </c>
      <c r="J189" s="104">
        <v>45112</v>
      </c>
      <c r="K189" s="100" t="s">
        <v>589</v>
      </c>
      <c r="L189" s="106">
        <v>45112.748379629629</v>
      </c>
      <c r="M189" s="100">
        <v>16</v>
      </c>
    </row>
    <row r="190" spans="1:13" x14ac:dyDescent="0.3">
      <c r="A190" s="100">
        <v>32</v>
      </c>
      <c r="B190" s="103" t="s">
        <v>555</v>
      </c>
      <c r="C190" s="103" t="s">
        <v>556</v>
      </c>
      <c r="D190" s="99">
        <v>213668</v>
      </c>
      <c r="E190" s="103" t="s">
        <v>560</v>
      </c>
      <c r="F190" s="18">
        <v>29</v>
      </c>
      <c r="G190" s="101">
        <v>213348</v>
      </c>
      <c r="H190" s="100" t="s">
        <v>590</v>
      </c>
      <c r="I190" s="100">
        <v>1</v>
      </c>
      <c r="J190" s="104">
        <v>45112</v>
      </c>
      <c r="K190" s="100" t="s">
        <v>591</v>
      </c>
      <c r="L190" s="106">
        <v>45112.748518518521</v>
      </c>
      <c r="M190" s="100">
        <v>17</v>
      </c>
    </row>
    <row r="191" spans="1:13" x14ac:dyDescent="0.3">
      <c r="A191" s="100">
        <v>33</v>
      </c>
      <c r="B191" s="103" t="s">
        <v>555</v>
      </c>
      <c r="C191" s="103" t="s">
        <v>556</v>
      </c>
      <c r="D191" s="99">
        <v>213668</v>
      </c>
      <c r="E191" s="103" t="s">
        <v>560</v>
      </c>
      <c r="F191" s="18">
        <v>29</v>
      </c>
      <c r="G191" s="101">
        <v>213348</v>
      </c>
      <c r="H191" s="100" t="s">
        <v>592</v>
      </c>
      <c r="I191" s="100">
        <v>2</v>
      </c>
      <c r="J191" s="104">
        <v>45112</v>
      </c>
      <c r="K191" s="100" t="s">
        <v>593</v>
      </c>
      <c r="L191" s="106">
        <v>45112.749594907407</v>
      </c>
      <c r="M191" s="100">
        <v>18</v>
      </c>
    </row>
    <row r="192" spans="1:13" x14ac:dyDescent="0.3">
      <c r="A192" s="100">
        <v>34</v>
      </c>
      <c r="B192" s="103" t="s">
        <v>555</v>
      </c>
      <c r="C192" s="103" t="s">
        <v>556</v>
      </c>
      <c r="D192" s="99">
        <v>213668</v>
      </c>
      <c r="E192" s="103" t="s">
        <v>560</v>
      </c>
      <c r="F192" s="18">
        <v>29</v>
      </c>
      <c r="G192" s="101">
        <v>213348</v>
      </c>
      <c r="H192" s="100" t="s">
        <v>594</v>
      </c>
      <c r="I192" s="100">
        <v>1</v>
      </c>
      <c r="J192" s="104">
        <v>45112</v>
      </c>
      <c r="K192" s="100" t="s">
        <v>595</v>
      </c>
      <c r="L192" s="106">
        <v>45112.749976851854</v>
      </c>
      <c r="M192" s="100">
        <v>19</v>
      </c>
    </row>
    <row r="193" spans="1:13" x14ac:dyDescent="0.3">
      <c r="A193" s="100">
        <v>17</v>
      </c>
      <c r="B193" s="103" t="s">
        <v>596</v>
      </c>
      <c r="C193" s="103" t="s">
        <v>597</v>
      </c>
      <c r="D193" s="99">
        <v>213711</v>
      </c>
      <c r="E193" s="103" t="s">
        <v>598</v>
      </c>
      <c r="F193" s="18">
        <v>11</v>
      </c>
      <c r="G193" s="101">
        <v>202045</v>
      </c>
      <c r="H193" s="100" t="s">
        <v>599</v>
      </c>
      <c r="I193" s="100">
        <v>0</v>
      </c>
      <c r="J193" s="104">
        <v>45111</v>
      </c>
      <c r="K193" s="100" t="s">
        <v>600</v>
      </c>
      <c r="L193" s="106">
        <v>45111.870462962965</v>
      </c>
      <c r="M193" s="100">
        <v>1</v>
      </c>
    </row>
    <row r="194" spans="1:13" x14ac:dyDescent="0.3">
      <c r="A194" s="100">
        <v>18</v>
      </c>
      <c r="B194" s="103" t="s">
        <v>596</v>
      </c>
      <c r="C194" s="103" t="s">
        <v>597</v>
      </c>
      <c r="D194" s="99">
        <v>213711</v>
      </c>
      <c r="E194" s="103" t="s">
        <v>598</v>
      </c>
      <c r="F194" s="18">
        <v>11</v>
      </c>
      <c r="G194" s="101">
        <v>202045</v>
      </c>
      <c r="H194" s="100" t="s">
        <v>601</v>
      </c>
      <c r="I194" s="100">
        <v>1</v>
      </c>
      <c r="J194" s="104">
        <v>45111</v>
      </c>
      <c r="K194" s="100" t="s">
        <v>602</v>
      </c>
      <c r="L194" s="106">
        <v>45111.877210648148</v>
      </c>
      <c r="M194" s="100">
        <v>2</v>
      </c>
    </row>
    <row r="195" spans="1:13" x14ac:dyDescent="0.3">
      <c r="A195" s="100">
        <v>19</v>
      </c>
      <c r="B195" s="103" t="s">
        <v>596</v>
      </c>
      <c r="C195" s="103" t="s">
        <v>597</v>
      </c>
      <c r="D195" s="99">
        <v>213711</v>
      </c>
      <c r="E195" s="103" t="s">
        <v>603</v>
      </c>
      <c r="F195" s="18">
        <v>43</v>
      </c>
      <c r="G195" s="101">
        <v>223373</v>
      </c>
      <c r="H195" s="100" t="s">
        <v>604</v>
      </c>
      <c r="I195" s="100">
        <v>2</v>
      </c>
      <c r="J195" s="104">
        <v>45111</v>
      </c>
      <c r="K195" s="100" t="s">
        <v>605</v>
      </c>
      <c r="L195" s="106">
        <v>45111.881863425922</v>
      </c>
      <c r="M195" s="100">
        <v>3</v>
      </c>
    </row>
    <row r="196" spans="1:13" x14ac:dyDescent="0.3">
      <c r="A196" s="100">
        <v>20</v>
      </c>
      <c r="B196" s="103" t="s">
        <v>596</v>
      </c>
      <c r="C196" s="103" t="s">
        <v>597</v>
      </c>
      <c r="D196" s="99">
        <v>213711</v>
      </c>
      <c r="E196" s="103" t="s">
        <v>598</v>
      </c>
      <c r="F196" s="18">
        <v>11</v>
      </c>
      <c r="G196" s="101">
        <v>202045</v>
      </c>
      <c r="H196" s="100" t="s">
        <v>606</v>
      </c>
      <c r="I196" s="100">
        <v>0</v>
      </c>
      <c r="J196" s="104">
        <v>45111</v>
      </c>
      <c r="K196" s="100" t="s">
        <v>607</v>
      </c>
      <c r="L196" s="106">
        <v>45111.889768518522</v>
      </c>
      <c r="M196" s="100">
        <v>4</v>
      </c>
    </row>
    <row r="197" spans="1:13" x14ac:dyDescent="0.3">
      <c r="A197" s="100">
        <v>21</v>
      </c>
      <c r="B197" s="103" t="s">
        <v>596</v>
      </c>
      <c r="C197" s="103" t="s">
        <v>597</v>
      </c>
      <c r="D197" s="99">
        <v>213711</v>
      </c>
      <c r="E197" s="103" t="s">
        <v>608</v>
      </c>
      <c r="F197" s="18">
        <v>20</v>
      </c>
      <c r="G197" s="101">
        <v>213074</v>
      </c>
      <c r="H197" s="100" t="s">
        <v>609</v>
      </c>
      <c r="I197" s="100">
        <v>0</v>
      </c>
      <c r="J197" s="104">
        <v>45112</v>
      </c>
      <c r="K197" s="100" t="s">
        <v>610</v>
      </c>
      <c r="L197" s="106">
        <v>45112.30300925926</v>
      </c>
      <c r="M197" s="100">
        <v>5</v>
      </c>
    </row>
    <row r="198" spans="1:13" x14ac:dyDescent="0.3">
      <c r="A198" s="100">
        <v>22</v>
      </c>
      <c r="B198" s="103" t="s">
        <v>596</v>
      </c>
      <c r="C198" s="103" t="s">
        <v>597</v>
      </c>
      <c r="D198" s="99">
        <v>213711</v>
      </c>
      <c r="E198" s="103" t="s">
        <v>608</v>
      </c>
      <c r="F198" s="18">
        <v>20</v>
      </c>
      <c r="G198" s="101">
        <v>213074</v>
      </c>
      <c r="H198" s="100" t="s">
        <v>611</v>
      </c>
      <c r="I198" s="100">
        <v>2</v>
      </c>
      <c r="J198" s="104">
        <v>45112</v>
      </c>
      <c r="K198" s="100" t="s">
        <v>612</v>
      </c>
      <c r="L198" s="106">
        <v>45112.303067129629</v>
      </c>
      <c r="M198" s="100">
        <v>6</v>
      </c>
    </row>
    <row r="199" spans="1:13" x14ac:dyDescent="0.3">
      <c r="A199" s="100">
        <v>23</v>
      </c>
      <c r="B199" s="103" t="s">
        <v>596</v>
      </c>
      <c r="C199" s="103" t="s">
        <v>597</v>
      </c>
      <c r="D199" s="99">
        <v>213711</v>
      </c>
      <c r="E199" s="103" t="s">
        <v>608</v>
      </c>
      <c r="F199" s="18">
        <v>20</v>
      </c>
      <c r="G199" s="101">
        <v>213074</v>
      </c>
      <c r="H199" s="100" t="s">
        <v>613</v>
      </c>
      <c r="I199" s="100">
        <v>1</v>
      </c>
      <c r="J199" s="104">
        <v>45112</v>
      </c>
      <c r="K199" s="100" t="s">
        <v>614</v>
      </c>
      <c r="L199" s="106">
        <v>45112.303263888891</v>
      </c>
      <c r="M199" s="100">
        <v>7</v>
      </c>
    </row>
    <row r="200" spans="1:13" x14ac:dyDescent="0.3">
      <c r="A200" s="100">
        <v>24</v>
      </c>
      <c r="B200" s="103" t="s">
        <v>596</v>
      </c>
      <c r="C200" s="103" t="s">
        <v>597</v>
      </c>
      <c r="D200" s="99">
        <v>213711</v>
      </c>
      <c r="E200" s="103" t="s">
        <v>608</v>
      </c>
      <c r="F200" s="18">
        <v>20</v>
      </c>
      <c r="G200" s="101">
        <v>213074</v>
      </c>
      <c r="H200" s="100" t="s">
        <v>615</v>
      </c>
      <c r="I200" s="100">
        <v>1</v>
      </c>
      <c r="J200" s="104">
        <v>45112</v>
      </c>
      <c r="K200" s="100" t="s">
        <v>616</v>
      </c>
      <c r="L200" s="106">
        <v>45112.303726851853</v>
      </c>
      <c r="M200" s="100">
        <v>8</v>
      </c>
    </row>
    <row r="201" spans="1:13" x14ac:dyDescent="0.3">
      <c r="A201" s="100">
        <v>25</v>
      </c>
      <c r="B201" s="103" t="s">
        <v>596</v>
      </c>
      <c r="C201" s="103" t="s">
        <v>597</v>
      </c>
      <c r="D201" s="99">
        <v>213711</v>
      </c>
      <c r="E201" s="103" t="s">
        <v>608</v>
      </c>
      <c r="F201" s="18">
        <v>20</v>
      </c>
      <c r="G201" s="101">
        <v>213074</v>
      </c>
      <c r="H201" s="100" t="s">
        <v>617</v>
      </c>
      <c r="I201" s="100">
        <v>1</v>
      </c>
      <c r="J201" s="104">
        <v>45112</v>
      </c>
      <c r="K201" s="100" t="s">
        <v>618</v>
      </c>
      <c r="L201" s="106">
        <v>45112.303877314815</v>
      </c>
      <c r="M201" s="100">
        <v>9</v>
      </c>
    </row>
    <row r="202" spans="1:13" x14ac:dyDescent="0.3">
      <c r="A202" s="100">
        <v>26</v>
      </c>
      <c r="B202" s="103" t="s">
        <v>596</v>
      </c>
      <c r="C202" s="103" t="s">
        <v>597</v>
      </c>
      <c r="D202" s="99">
        <v>213711</v>
      </c>
      <c r="E202" s="103" t="s">
        <v>608</v>
      </c>
      <c r="F202" s="18">
        <v>20</v>
      </c>
      <c r="G202" s="101">
        <v>213074</v>
      </c>
      <c r="H202" s="100" t="s">
        <v>619</v>
      </c>
      <c r="I202" s="100">
        <v>1</v>
      </c>
      <c r="J202" s="104">
        <v>45112</v>
      </c>
      <c r="K202" s="100" t="s">
        <v>620</v>
      </c>
      <c r="L202" s="106">
        <v>45112.304328703707</v>
      </c>
      <c r="M202" s="100">
        <v>10</v>
      </c>
    </row>
    <row r="203" spans="1:13" x14ac:dyDescent="0.3">
      <c r="A203" s="100">
        <v>27</v>
      </c>
      <c r="B203" s="103" t="s">
        <v>596</v>
      </c>
      <c r="C203" s="103" t="s">
        <v>597</v>
      </c>
      <c r="D203" s="99">
        <v>213711</v>
      </c>
      <c r="E203" s="103" t="s">
        <v>608</v>
      </c>
      <c r="F203" s="18">
        <v>20</v>
      </c>
      <c r="G203" s="101">
        <v>213074</v>
      </c>
      <c r="H203" s="100" t="s">
        <v>621</v>
      </c>
      <c r="I203" s="100">
        <v>0</v>
      </c>
      <c r="J203" s="104">
        <v>45112</v>
      </c>
      <c r="K203" s="100" t="s">
        <v>622</v>
      </c>
      <c r="L203" s="106">
        <v>45112.304490740738</v>
      </c>
      <c r="M203" s="100">
        <v>11</v>
      </c>
    </row>
    <row r="204" spans="1:13" x14ac:dyDescent="0.3">
      <c r="A204" s="100">
        <v>28</v>
      </c>
      <c r="B204" s="103" t="s">
        <v>596</v>
      </c>
      <c r="C204" s="103" t="s">
        <v>597</v>
      </c>
      <c r="D204" s="99">
        <v>213711</v>
      </c>
      <c r="E204" s="103" t="s">
        <v>608</v>
      </c>
      <c r="F204" s="18">
        <v>20</v>
      </c>
      <c r="G204" s="101">
        <v>213074</v>
      </c>
      <c r="H204" s="100" t="s">
        <v>623</v>
      </c>
      <c r="I204" s="100">
        <v>1</v>
      </c>
      <c r="J204" s="104">
        <v>45112</v>
      </c>
      <c r="K204" s="100" t="s">
        <v>624</v>
      </c>
      <c r="L204" s="106">
        <v>45112.304606481484</v>
      </c>
      <c r="M204" s="100">
        <v>12</v>
      </c>
    </row>
    <row r="205" spans="1:13" x14ac:dyDescent="0.3">
      <c r="A205" s="100">
        <v>29</v>
      </c>
      <c r="B205" s="103" t="s">
        <v>596</v>
      </c>
      <c r="C205" s="103" t="s">
        <v>597</v>
      </c>
      <c r="D205" s="99">
        <v>213711</v>
      </c>
      <c r="E205" s="103" t="s">
        <v>608</v>
      </c>
      <c r="F205" s="18">
        <v>20</v>
      </c>
      <c r="G205" s="101">
        <v>213074</v>
      </c>
      <c r="H205" s="100" t="s">
        <v>625</v>
      </c>
      <c r="I205" s="100">
        <v>1</v>
      </c>
      <c r="J205" s="104">
        <v>45112</v>
      </c>
      <c r="K205" s="100" t="s">
        <v>626</v>
      </c>
      <c r="L205" s="106">
        <v>45112.304664351854</v>
      </c>
      <c r="M205" s="100">
        <v>13</v>
      </c>
    </row>
    <row r="206" spans="1:13" x14ac:dyDescent="0.3">
      <c r="A206" s="100">
        <v>30</v>
      </c>
      <c r="B206" s="103" t="s">
        <v>596</v>
      </c>
      <c r="C206" s="103" t="s">
        <v>597</v>
      </c>
      <c r="D206" s="99">
        <v>213711</v>
      </c>
      <c r="E206" s="103" t="s">
        <v>608</v>
      </c>
      <c r="F206" s="18">
        <v>20</v>
      </c>
      <c r="G206" s="101">
        <v>213074</v>
      </c>
      <c r="H206" s="100" t="s">
        <v>627</v>
      </c>
      <c r="I206" s="100">
        <v>1</v>
      </c>
      <c r="J206" s="104">
        <v>45112</v>
      </c>
      <c r="K206" s="100" t="s">
        <v>628</v>
      </c>
      <c r="L206" s="106">
        <v>45112.305324074077</v>
      </c>
      <c r="M206" s="100">
        <v>14</v>
      </c>
    </row>
    <row r="207" spans="1:13" x14ac:dyDescent="0.3">
      <c r="A207" s="100">
        <v>31</v>
      </c>
      <c r="B207" s="103" t="s">
        <v>596</v>
      </c>
      <c r="C207" s="103" t="s">
        <v>597</v>
      </c>
      <c r="D207" s="99">
        <v>213711</v>
      </c>
      <c r="E207" s="103" t="s">
        <v>608</v>
      </c>
      <c r="F207" s="18">
        <v>20</v>
      </c>
      <c r="G207" s="101">
        <v>213074</v>
      </c>
      <c r="H207" s="100" t="s">
        <v>629</v>
      </c>
      <c r="I207" s="100">
        <v>1</v>
      </c>
      <c r="J207" s="104">
        <v>45112</v>
      </c>
      <c r="K207" s="100" t="s">
        <v>630</v>
      </c>
      <c r="L207" s="106">
        <v>45112.30541666667</v>
      </c>
      <c r="M207" s="100">
        <v>15</v>
      </c>
    </row>
    <row r="208" spans="1:13" x14ac:dyDescent="0.3">
      <c r="A208" s="100">
        <v>32</v>
      </c>
      <c r="B208" s="103" t="s">
        <v>596</v>
      </c>
      <c r="C208" s="103" t="s">
        <v>597</v>
      </c>
      <c r="D208" s="99">
        <v>213711</v>
      </c>
      <c r="E208" s="103" t="s">
        <v>608</v>
      </c>
      <c r="F208" s="18">
        <v>20</v>
      </c>
      <c r="G208" s="101">
        <v>213074</v>
      </c>
      <c r="H208" s="100" t="s">
        <v>631</v>
      </c>
      <c r="I208" s="100">
        <v>1</v>
      </c>
      <c r="J208" s="104">
        <v>45112</v>
      </c>
      <c r="K208" s="100" t="s">
        <v>632</v>
      </c>
      <c r="L208" s="106">
        <v>45112.305567129632</v>
      </c>
      <c r="M208" s="100">
        <v>16</v>
      </c>
    </row>
    <row r="209" spans="1:13" x14ac:dyDescent="0.3">
      <c r="A209" s="100">
        <v>33</v>
      </c>
      <c r="B209" s="103" t="s">
        <v>596</v>
      </c>
      <c r="C209" s="103" t="s">
        <v>597</v>
      </c>
      <c r="D209" s="99">
        <v>213711</v>
      </c>
      <c r="E209" s="103" t="s">
        <v>608</v>
      </c>
      <c r="F209" s="18">
        <v>20</v>
      </c>
      <c r="G209" s="101">
        <v>213074</v>
      </c>
      <c r="H209" s="100" t="s">
        <v>633</v>
      </c>
      <c r="I209" s="100">
        <v>1</v>
      </c>
      <c r="J209" s="104">
        <v>45112</v>
      </c>
      <c r="K209" s="100" t="s">
        <v>634</v>
      </c>
      <c r="L209" s="106">
        <v>45112.308020833334</v>
      </c>
      <c r="M209" s="100">
        <v>17</v>
      </c>
    </row>
    <row r="210" spans="1:13" x14ac:dyDescent="0.3">
      <c r="A210" s="100">
        <v>34</v>
      </c>
      <c r="B210" s="103" t="s">
        <v>596</v>
      </c>
      <c r="C210" s="103" t="s">
        <v>597</v>
      </c>
      <c r="D210" s="99">
        <v>213711</v>
      </c>
      <c r="E210" s="103" t="s">
        <v>608</v>
      </c>
      <c r="F210" s="18">
        <v>20</v>
      </c>
      <c r="G210" s="101">
        <v>213074</v>
      </c>
      <c r="H210" s="100" t="s">
        <v>635</v>
      </c>
      <c r="I210" s="100">
        <v>0</v>
      </c>
      <c r="J210" s="104">
        <v>45112</v>
      </c>
      <c r="K210" s="100" t="s">
        <v>636</v>
      </c>
      <c r="L210" s="106">
        <v>45112.308240740742</v>
      </c>
      <c r="M210" s="100">
        <v>18</v>
      </c>
    </row>
    <row r="211" spans="1:13" x14ac:dyDescent="0.3">
      <c r="A211" s="100">
        <v>35</v>
      </c>
      <c r="B211" s="103" t="s">
        <v>596</v>
      </c>
      <c r="C211" s="103" t="s">
        <v>597</v>
      </c>
      <c r="D211" s="99">
        <v>213711</v>
      </c>
      <c r="E211" s="103" t="s">
        <v>608</v>
      </c>
      <c r="F211" s="18">
        <v>20</v>
      </c>
      <c r="G211" s="101">
        <v>213074</v>
      </c>
      <c r="H211" s="100" t="s">
        <v>637</v>
      </c>
      <c r="I211" s="100">
        <v>0</v>
      </c>
      <c r="J211" s="104">
        <v>45112</v>
      </c>
      <c r="K211" s="100" t="s">
        <v>638</v>
      </c>
      <c r="L211" s="106">
        <v>45112.315127314818</v>
      </c>
      <c r="M211" s="100">
        <v>19</v>
      </c>
    </row>
    <row r="212" spans="1:13" x14ac:dyDescent="0.3">
      <c r="A212" s="100">
        <v>36</v>
      </c>
      <c r="B212" s="103" t="s">
        <v>596</v>
      </c>
      <c r="C212" s="103" t="s">
        <v>597</v>
      </c>
      <c r="D212" s="99">
        <v>213711</v>
      </c>
      <c r="E212" s="103" t="s">
        <v>608</v>
      </c>
      <c r="F212" s="18">
        <v>20</v>
      </c>
      <c r="G212" s="101">
        <v>213074</v>
      </c>
      <c r="H212" s="100" t="s">
        <v>639</v>
      </c>
      <c r="I212" s="100">
        <v>3</v>
      </c>
      <c r="J212" s="104">
        <v>45112</v>
      </c>
      <c r="K212" s="100" t="s">
        <v>640</v>
      </c>
      <c r="L212" s="106">
        <v>45112.315381944441</v>
      </c>
      <c r="M212" s="100">
        <v>20</v>
      </c>
    </row>
    <row r="213" spans="1:13" x14ac:dyDescent="0.3">
      <c r="A213" s="100">
        <v>37</v>
      </c>
      <c r="B213" s="103" t="s">
        <v>596</v>
      </c>
      <c r="C213" s="103" t="s">
        <v>597</v>
      </c>
      <c r="D213" s="99">
        <v>213711</v>
      </c>
      <c r="E213" s="103" t="s">
        <v>608</v>
      </c>
      <c r="F213" s="18">
        <v>20</v>
      </c>
      <c r="G213" s="101">
        <v>213074</v>
      </c>
      <c r="H213" s="100" t="s">
        <v>641</v>
      </c>
      <c r="I213" s="100">
        <v>1</v>
      </c>
      <c r="J213" s="104">
        <v>45112</v>
      </c>
      <c r="K213" s="100" t="s">
        <v>642</v>
      </c>
      <c r="L213" s="106">
        <v>45112.315578703703</v>
      </c>
      <c r="M213" s="100">
        <v>21</v>
      </c>
    </row>
    <row r="214" spans="1:13" x14ac:dyDescent="0.3">
      <c r="A214" s="100">
        <v>38</v>
      </c>
      <c r="B214" s="103" t="s">
        <v>596</v>
      </c>
      <c r="C214" s="103" t="s">
        <v>597</v>
      </c>
      <c r="D214" s="99">
        <v>213711</v>
      </c>
      <c r="E214" s="103" t="s">
        <v>608</v>
      </c>
      <c r="F214" s="18">
        <v>20</v>
      </c>
      <c r="G214" s="101">
        <v>213074</v>
      </c>
      <c r="H214" s="100" t="s">
        <v>643</v>
      </c>
      <c r="I214" s="100">
        <v>1</v>
      </c>
      <c r="J214" s="104">
        <v>45112</v>
      </c>
      <c r="K214" s="100" t="s">
        <v>644</v>
      </c>
      <c r="L214" s="106">
        <v>45112.315659722219</v>
      </c>
      <c r="M214" s="100">
        <v>22</v>
      </c>
    </row>
    <row r="215" spans="1:13" x14ac:dyDescent="0.3">
      <c r="A215" s="100">
        <v>39</v>
      </c>
      <c r="B215" s="103" t="s">
        <v>596</v>
      </c>
      <c r="C215" s="103" t="s">
        <v>597</v>
      </c>
      <c r="D215" s="99">
        <v>213711</v>
      </c>
      <c r="E215" s="103" t="s">
        <v>608</v>
      </c>
      <c r="F215" s="18">
        <v>20</v>
      </c>
      <c r="G215" s="101">
        <v>213074</v>
      </c>
      <c r="H215" s="100" t="s">
        <v>645</v>
      </c>
      <c r="I215" s="100">
        <v>2</v>
      </c>
      <c r="J215" s="104">
        <v>45112</v>
      </c>
      <c r="K215" s="100" t="s">
        <v>646</v>
      </c>
      <c r="L215" s="106">
        <v>45112.621087962965</v>
      </c>
      <c r="M215" s="100">
        <v>23</v>
      </c>
    </row>
    <row r="216" spans="1:13" x14ac:dyDescent="0.3">
      <c r="A216" s="100">
        <v>40</v>
      </c>
      <c r="B216" s="103" t="s">
        <v>596</v>
      </c>
      <c r="C216" s="103" t="s">
        <v>597</v>
      </c>
      <c r="D216" s="99">
        <v>213711</v>
      </c>
      <c r="E216" s="103" t="s">
        <v>608</v>
      </c>
      <c r="F216" s="18">
        <v>20</v>
      </c>
      <c r="G216" s="101">
        <v>213074</v>
      </c>
      <c r="H216" s="100" t="s">
        <v>647</v>
      </c>
      <c r="I216" s="100">
        <v>1</v>
      </c>
      <c r="J216" s="104">
        <v>45112</v>
      </c>
      <c r="K216" s="100" t="s">
        <v>648</v>
      </c>
      <c r="L216" s="106">
        <v>45112.621435185189</v>
      </c>
      <c r="M216" s="100">
        <v>24</v>
      </c>
    </row>
    <row r="217" spans="1:13" x14ac:dyDescent="0.3">
      <c r="A217" s="100">
        <v>41</v>
      </c>
      <c r="B217" s="103" t="s">
        <v>596</v>
      </c>
      <c r="C217" s="103" t="s">
        <v>597</v>
      </c>
      <c r="D217" s="99">
        <v>213711</v>
      </c>
      <c r="E217" s="103" t="s">
        <v>608</v>
      </c>
      <c r="F217" s="18">
        <v>20</v>
      </c>
      <c r="G217" s="101">
        <v>213074</v>
      </c>
      <c r="H217" s="100" t="s">
        <v>649</v>
      </c>
      <c r="I217" s="100">
        <v>3</v>
      </c>
      <c r="J217" s="104">
        <v>45112</v>
      </c>
      <c r="K217" s="100" t="s">
        <v>650</v>
      </c>
      <c r="L217" s="106">
        <v>45112.62300925926</v>
      </c>
      <c r="M217" s="100">
        <v>25</v>
      </c>
    </row>
    <row r="218" spans="1:13" x14ac:dyDescent="0.3">
      <c r="A218" s="100">
        <v>42</v>
      </c>
      <c r="B218" s="103" t="s">
        <v>596</v>
      </c>
      <c r="C218" s="103" t="s">
        <v>597</v>
      </c>
      <c r="D218" s="99">
        <v>213711</v>
      </c>
      <c r="E218" s="103" t="s">
        <v>608</v>
      </c>
      <c r="F218" s="18">
        <v>20</v>
      </c>
      <c r="G218" s="101">
        <v>213074</v>
      </c>
      <c r="H218" s="100" t="s">
        <v>651</v>
      </c>
      <c r="I218" s="100">
        <v>0</v>
      </c>
      <c r="J218" s="104">
        <v>45112</v>
      </c>
      <c r="K218" s="100" t="s">
        <v>652</v>
      </c>
      <c r="L218" s="106">
        <v>45112.623611111114</v>
      </c>
      <c r="M218" s="100">
        <v>26</v>
      </c>
    </row>
    <row r="219" spans="1:13" x14ac:dyDescent="0.3">
      <c r="A219" s="100">
        <v>43</v>
      </c>
      <c r="B219" s="103" t="s">
        <v>596</v>
      </c>
      <c r="C219" s="103" t="s">
        <v>597</v>
      </c>
      <c r="D219" s="99">
        <v>213711</v>
      </c>
      <c r="E219" s="103" t="s">
        <v>608</v>
      </c>
      <c r="F219" s="18">
        <v>20</v>
      </c>
      <c r="G219" s="101">
        <v>213074</v>
      </c>
      <c r="H219" s="100" t="s">
        <v>653</v>
      </c>
      <c r="I219" s="100">
        <v>3</v>
      </c>
      <c r="J219" s="104">
        <v>45112</v>
      </c>
      <c r="K219" s="100" t="s">
        <v>654</v>
      </c>
      <c r="L219" s="106">
        <v>45112.623831018522</v>
      </c>
      <c r="M219" s="100">
        <v>27</v>
      </c>
    </row>
    <row r="220" spans="1:13" x14ac:dyDescent="0.3">
      <c r="A220" s="100">
        <v>44</v>
      </c>
      <c r="B220" s="103" t="s">
        <v>596</v>
      </c>
      <c r="C220" s="103" t="s">
        <v>597</v>
      </c>
      <c r="D220" s="99">
        <v>213711</v>
      </c>
      <c r="E220" s="103" t="s">
        <v>608</v>
      </c>
      <c r="F220" s="18">
        <v>20</v>
      </c>
      <c r="G220" s="101">
        <v>213074</v>
      </c>
      <c r="H220" s="100" t="s">
        <v>655</v>
      </c>
      <c r="I220" s="100">
        <v>1</v>
      </c>
      <c r="J220" s="104">
        <v>45112</v>
      </c>
      <c r="K220" s="100" t="s">
        <v>656</v>
      </c>
      <c r="L220" s="106">
        <v>45112.624386574076</v>
      </c>
      <c r="M220" s="100">
        <v>28</v>
      </c>
    </row>
    <row r="221" spans="1:13" x14ac:dyDescent="0.3">
      <c r="A221" s="100">
        <v>45</v>
      </c>
      <c r="B221" s="103" t="s">
        <v>596</v>
      </c>
      <c r="C221" s="103" t="s">
        <v>597</v>
      </c>
      <c r="D221" s="99">
        <v>213711</v>
      </c>
      <c r="E221" s="103" t="s">
        <v>608</v>
      </c>
      <c r="F221" s="18">
        <v>20</v>
      </c>
      <c r="G221" s="101">
        <v>213074</v>
      </c>
      <c r="H221" s="100" t="s">
        <v>657</v>
      </c>
      <c r="I221" s="100">
        <v>1</v>
      </c>
      <c r="J221" s="104">
        <v>45112</v>
      </c>
      <c r="K221" s="100" t="s">
        <v>658</v>
      </c>
      <c r="L221" s="106">
        <v>45112.624490740738</v>
      </c>
      <c r="M221" s="100">
        <v>29</v>
      </c>
    </row>
    <row r="222" spans="1:13" x14ac:dyDescent="0.3">
      <c r="A222" s="100">
        <v>46</v>
      </c>
      <c r="B222" s="103" t="s">
        <v>596</v>
      </c>
      <c r="C222" s="103" t="s">
        <v>597</v>
      </c>
      <c r="D222" s="99">
        <v>213711</v>
      </c>
      <c r="E222" s="103" t="s">
        <v>608</v>
      </c>
      <c r="F222" s="18">
        <v>20</v>
      </c>
      <c r="G222" s="101">
        <v>213074</v>
      </c>
      <c r="H222" s="100" t="s">
        <v>659</v>
      </c>
      <c r="I222" s="100">
        <v>1</v>
      </c>
      <c r="J222" s="104">
        <v>45112</v>
      </c>
      <c r="K222" s="100" t="s">
        <v>660</v>
      </c>
      <c r="L222" s="106">
        <v>45112.631782407407</v>
      </c>
      <c r="M222" s="100">
        <v>30</v>
      </c>
    </row>
    <row r="223" spans="1:13" x14ac:dyDescent="0.3">
      <c r="A223" s="100">
        <v>47</v>
      </c>
      <c r="B223" s="103" t="s">
        <v>596</v>
      </c>
      <c r="C223" s="103" t="s">
        <v>597</v>
      </c>
      <c r="D223" s="99">
        <v>213711</v>
      </c>
      <c r="E223" s="103" t="s">
        <v>608</v>
      </c>
      <c r="F223" s="18">
        <v>20</v>
      </c>
      <c r="G223" s="101">
        <v>213074</v>
      </c>
      <c r="H223" s="100" t="s">
        <v>661</v>
      </c>
      <c r="I223" s="100">
        <v>2</v>
      </c>
      <c r="J223" s="104">
        <v>45112</v>
      </c>
      <c r="K223" s="100" t="s">
        <v>662</v>
      </c>
      <c r="L223" s="106">
        <v>45112.632754629631</v>
      </c>
      <c r="M223" s="100">
        <v>31</v>
      </c>
    </row>
    <row r="224" spans="1:13" x14ac:dyDescent="0.3">
      <c r="A224" s="100">
        <v>48</v>
      </c>
      <c r="B224" s="103" t="s">
        <v>596</v>
      </c>
      <c r="C224" s="103" t="s">
        <v>597</v>
      </c>
      <c r="D224" s="99">
        <v>213711</v>
      </c>
      <c r="E224" s="103" t="s">
        <v>608</v>
      </c>
      <c r="F224" s="18">
        <v>20</v>
      </c>
      <c r="G224" s="101">
        <v>213074</v>
      </c>
      <c r="H224" s="100" t="s">
        <v>663</v>
      </c>
      <c r="I224" s="100">
        <v>1</v>
      </c>
      <c r="J224" s="104">
        <v>45112</v>
      </c>
      <c r="K224" s="100" t="s">
        <v>664</v>
      </c>
      <c r="L224" s="106">
        <v>45112.632824074077</v>
      </c>
      <c r="M224" s="100">
        <v>32</v>
      </c>
    </row>
    <row r="225" spans="1:13" x14ac:dyDescent="0.3">
      <c r="A225" s="100">
        <v>49</v>
      </c>
      <c r="B225" s="103" t="s">
        <v>596</v>
      </c>
      <c r="C225" s="103" t="s">
        <v>597</v>
      </c>
      <c r="D225" s="99">
        <v>213711</v>
      </c>
      <c r="E225" s="103" t="s">
        <v>608</v>
      </c>
      <c r="F225" s="18">
        <v>20</v>
      </c>
      <c r="G225" s="101">
        <v>213074</v>
      </c>
      <c r="H225" s="100" t="s">
        <v>665</v>
      </c>
      <c r="I225" s="100">
        <v>0</v>
      </c>
      <c r="J225" s="104">
        <v>45112</v>
      </c>
      <c r="K225" s="100" t="s">
        <v>666</v>
      </c>
      <c r="L225" s="106">
        <v>45112.632916666669</v>
      </c>
      <c r="M225" s="100">
        <v>33</v>
      </c>
    </row>
    <row r="226" spans="1:13" x14ac:dyDescent="0.3">
      <c r="A226" s="100">
        <v>50</v>
      </c>
      <c r="B226" s="103" t="s">
        <v>596</v>
      </c>
      <c r="C226" s="103" t="s">
        <v>597</v>
      </c>
      <c r="D226" s="99">
        <v>213711</v>
      </c>
      <c r="E226" s="103" t="s">
        <v>608</v>
      </c>
      <c r="F226" s="18">
        <v>20</v>
      </c>
      <c r="G226" s="101">
        <v>213074</v>
      </c>
      <c r="H226" s="100" t="s">
        <v>667</v>
      </c>
      <c r="I226" s="100">
        <v>1</v>
      </c>
      <c r="J226" s="104">
        <v>45112</v>
      </c>
      <c r="K226" s="100" t="s">
        <v>668</v>
      </c>
      <c r="L226" s="106">
        <v>45112.633576388886</v>
      </c>
      <c r="M226" s="100">
        <v>34</v>
      </c>
    </row>
    <row r="227" spans="1:13" x14ac:dyDescent="0.3">
      <c r="A227" s="100">
        <v>51</v>
      </c>
      <c r="B227" s="103" t="s">
        <v>596</v>
      </c>
      <c r="C227" s="103" t="s">
        <v>597</v>
      </c>
      <c r="D227" s="99">
        <v>213711</v>
      </c>
      <c r="E227" s="103" t="s">
        <v>608</v>
      </c>
      <c r="F227" s="18">
        <v>20</v>
      </c>
      <c r="G227" s="101">
        <v>213074</v>
      </c>
      <c r="H227" s="100" t="s">
        <v>669</v>
      </c>
      <c r="I227" s="100">
        <v>1</v>
      </c>
      <c r="J227" s="104">
        <v>45112</v>
      </c>
      <c r="K227" s="100" t="s">
        <v>670</v>
      </c>
      <c r="L227" s="106">
        <v>45112.633634259262</v>
      </c>
      <c r="M227" s="100">
        <v>35</v>
      </c>
    </row>
    <row r="228" spans="1:13" x14ac:dyDescent="0.3">
      <c r="A228" s="100">
        <v>52</v>
      </c>
      <c r="B228" s="103" t="s">
        <v>596</v>
      </c>
      <c r="C228" s="103" t="s">
        <v>597</v>
      </c>
      <c r="D228" s="99">
        <v>213711</v>
      </c>
      <c r="E228" s="103" t="s">
        <v>608</v>
      </c>
      <c r="F228" s="18">
        <v>20</v>
      </c>
      <c r="G228" s="101">
        <v>213074</v>
      </c>
      <c r="H228" s="100" t="s">
        <v>671</v>
      </c>
      <c r="I228" s="100">
        <v>2</v>
      </c>
      <c r="J228" s="104">
        <v>45112</v>
      </c>
      <c r="K228" s="100" t="s">
        <v>672</v>
      </c>
      <c r="L228" s="106">
        <v>45112.633726851855</v>
      </c>
      <c r="M228" s="100">
        <v>36</v>
      </c>
    </row>
    <row r="229" spans="1:13" x14ac:dyDescent="0.3">
      <c r="A229" s="100">
        <v>53</v>
      </c>
      <c r="B229" s="103" t="s">
        <v>596</v>
      </c>
      <c r="C229" s="103" t="s">
        <v>597</v>
      </c>
      <c r="D229" s="99">
        <v>213711</v>
      </c>
      <c r="E229" s="103" t="s">
        <v>608</v>
      </c>
      <c r="F229" s="18">
        <v>20</v>
      </c>
      <c r="G229" s="101">
        <v>213074</v>
      </c>
      <c r="H229" s="100" t="s">
        <v>673</v>
      </c>
      <c r="I229" s="100">
        <v>2</v>
      </c>
      <c r="J229" s="104">
        <v>45112</v>
      </c>
      <c r="K229" s="100" t="s">
        <v>674</v>
      </c>
      <c r="L229" s="106">
        <v>45112.633993055555</v>
      </c>
      <c r="M229" s="100">
        <v>37</v>
      </c>
    </row>
    <row r="230" spans="1:13" x14ac:dyDescent="0.3">
      <c r="A230" s="100">
        <v>54</v>
      </c>
      <c r="B230" s="103" t="s">
        <v>596</v>
      </c>
      <c r="C230" s="103" t="s">
        <v>597</v>
      </c>
      <c r="D230" s="99">
        <v>213711</v>
      </c>
      <c r="E230" s="103" t="s">
        <v>608</v>
      </c>
      <c r="F230" s="18">
        <v>20</v>
      </c>
      <c r="G230" s="101">
        <v>213074</v>
      </c>
      <c r="H230" s="100" t="s">
        <v>675</v>
      </c>
      <c r="I230" s="100">
        <v>2</v>
      </c>
      <c r="J230" s="104">
        <v>45112</v>
      </c>
      <c r="K230" s="100" t="s">
        <v>676</v>
      </c>
      <c r="L230" s="106">
        <v>45112.634513888886</v>
      </c>
      <c r="M230" s="100">
        <v>38</v>
      </c>
    </row>
    <row r="231" spans="1:13" x14ac:dyDescent="0.3">
      <c r="A231" s="100">
        <v>55</v>
      </c>
      <c r="B231" s="103" t="s">
        <v>596</v>
      </c>
      <c r="C231" s="103" t="s">
        <v>597</v>
      </c>
      <c r="D231" s="99">
        <v>213711</v>
      </c>
      <c r="E231" s="103" t="s">
        <v>608</v>
      </c>
      <c r="F231" s="18">
        <v>20</v>
      </c>
      <c r="G231" s="101">
        <v>213074</v>
      </c>
      <c r="H231" s="100" t="s">
        <v>677</v>
      </c>
      <c r="I231" s="100">
        <v>2</v>
      </c>
      <c r="J231" s="104">
        <v>45112</v>
      </c>
      <c r="K231" s="100" t="s">
        <v>678</v>
      </c>
      <c r="L231" s="106">
        <v>45112.634965277779</v>
      </c>
      <c r="M231" s="100">
        <v>39</v>
      </c>
    </row>
    <row r="232" spans="1:13" x14ac:dyDescent="0.3">
      <c r="A232" s="100">
        <v>56</v>
      </c>
      <c r="B232" s="103" t="s">
        <v>596</v>
      </c>
      <c r="C232" s="103" t="s">
        <v>597</v>
      </c>
      <c r="D232" s="99">
        <v>213711</v>
      </c>
      <c r="E232" s="103" t="s">
        <v>608</v>
      </c>
      <c r="F232" s="18">
        <v>20</v>
      </c>
      <c r="G232" s="101">
        <v>213074</v>
      </c>
      <c r="H232" s="100" t="s">
        <v>679</v>
      </c>
      <c r="I232" s="100">
        <v>1</v>
      </c>
      <c r="J232" s="104">
        <v>45112</v>
      </c>
      <c r="K232" s="100" t="s">
        <v>680</v>
      </c>
      <c r="L232" s="106">
        <v>45112.635312500002</v>
      </c>
      <c r="M232" s="100">
        <v>40</v>
      </c>
    </row>
    <row r="233" spans="1:13" x14ac:dyDescent="0.3">
      <c r="A233" s="100">
        <v>57</v>
      </c>
      <c r="B233" s="103" t="s">
        <v>596</v>
      </c>
      <c r="C233" s="103" t="s">
        <v>597</v>
      </c>
      <c r="D233" s="99">
        <v>213711</v>
      </c>
      <c r="E233" s="103" t="s">
        <v>608</v>
      </c>
      <c r="F233" s="18">
        <v>20</v>
      </c>
      <c r="G233" s="101">
        <v>213074</v>
      </c>
      <c r="H233" s="100" t="s">
        <v>681</v>
      </c>
      <c r="I233" s="100">
        <v>1</v>
      </c>
      <c r="J233" s="104">
        <v>45112</v>
      </c>
      <c r="K233" s="100" t="s">
        <v>682</v>
      </c>
      <c r="L233" s="106">
        <v>45112.635682870372</v>
      </c>
      <c r="M233" s="100">
        <v>41</v>
      </c>
    </row>
    <row r="234" spans="1:13" x14ac:dyDescent="0.3">
      <c r="A234" s="100">
        <v>58</v>
      </c>
      <c r="B234" s="103" t="s">
        <v>596</v>
      </c>
      <c r="C234" s="103" t="s">
        <v>597</v>
      </c>
      <c r="D234" s="99">
        <v>213711</v>
      </c>
      <c r="E234" s="103" t="s">
        <v>560</v>
      </c>
      <c r="F234" s="18">
        <v>29</v>
      </c>
      <c r="G234" s="101">
        <v>213348</v>
      </c>
      <c r="H234" s="100" t="s">
        <v>683</v>
      </c>
      <c r="I234" s="100">
        <v>0</v>
      </c>
      <c r="J234" s="104">
        <v>45112</v>
      </c>
      <c r="K234" s="100" t="s">
        <v>684</v>
      </c>
      <c r="L234" s="106">
        <v>45112.637071759258</v>
      </c>
      <c r="M234" s="100">
        <v>42</v>
      </c>
    </row>
    <row r="235" spans="1:13" x14ac:dyDescent="0.3">
      <c r="A235" s="100">
        <v>59</v>
      </c>
      <c r="B235" s="103" t="s">
        <v>596</v>
      </c>
      <c r="C235" s="103" t="s">
        <v>597</v>
      </c>
      <c r="D235" s="99">
        <v>213711</v>
      </c>
      <c r="E235" s="103" t="s">
        <v>560</v>
      </c>
      <c r="F235" s="18">
        <v>29</v>
      </c>
      <c r="G235" s="101">
        <v>213348</v>
      </c>
      <c r="H235" s="100" t="s">
        <v>685</v>
      </c>
      <c r="I235" s="100">
        <v>1</v>
      </c>
      <c r="J235" s="104">
        <v>45112</v>
      </c>
      <c r="K235" s="100" t="s">
        <v>686</v>
      </c>
      <c r="L235" s="106">
        <v>45112.637731481482</v>
      </c>
      <c r="M235" s="100">
        <v>43</v>
      </c>
    </row>
    <row r="236" spans="1:13" x14ac:dyDescent="0.3">
      <c r="A236" s="100">
        <v>60</v>
      </c>
      <c r="B236" s="103" t="s">
        <v>596</v>
      </c>
      <c r="C236" s="103" t="s">
        <v>597</v>
      </c>
      <c r="D236" s="99">
        <v>213711</v>
      </c>
      <c r="E236" s="103" t="s">
        <v>560</v>
      </c>
      <c r="F236" s="18">
        <v>29</v>
      </c>
      <c r="G236" s="101">
        <v>213348</v>
      </c>
      <c r="H236" s="100" t="s">
        <v>687</v>
      </c>
      <c r="I236" s="100">
        <v>2</v>
      </c>
      <c r="J236" s="104">
        <v>45112</v>
      </c>
      <c r="K236" s="100" t="s">
        <v>688</v>
      </c>
      <c r="L236" s="106">
        <v>45112.637777777774</v>
      </c>
      <c r="M236" s="100">
        <v>44</v>
      </c>
    </row>
    <row r="237" spans="1:13" x14ac:dyDescent="0.3">
      <c r="A237" s="100">
        <v>61</v>
      </c>
      <c r="B237" s="103" t="s">
        <v>596</v>
      </c>
      <c r="C237" s="103" t="s">
        <v>597</v>
      </c>
      <c r="D237" s="99">
        <v>213711</v>
      </c>
      <c r="E237" s="103" t="s">
        <v>560</v>
      </c>
      <c r="F237" s="18">
        <v>29</v>
      </c>
      <c r="G237" s="101">
        <v>213348</v>
      </c>
      <c r="H237" s="100" t="s">
        <v>689</v>
      </c>
      <c r="I237" s="100">
        <v>2</v>
      </c>
      <c r="J237" s="104">
        <v>45112</v>
      </c>
      <c r="K237" s="100" t="s">
        <v>690</v>
      </c>
      <c r="L237" s="106">
        <v>45112.638182870367</v>
      </c>
      <c r="M237" s="100">
        <v>45</v>
      </c>
    </row>
    <row r="238" spans="1:13" x14ac:dyDescent="0.3">
      <c r="A238" s="100">
        <v>62</v>
      </c>
      <c r="B238" s="103" t="s">
        <v>596</v>
      </c>
      <c r="C238" s="103" t="s">
        <v>597</v>
      </c>
      <c r="D238" s="99">
        <v>213711</v>
      </c>
      <c r="E238" s="103" t="s">
        <v>560</v>
      </c>
      <c r="F238" s="18">
        <v>29</v>
      </c>
      <c r="G238" s="101">
        <v>213348</v>
      </c>
      <c r="H238" s="100" t="s">
        <v>691</v>
      </c>
      <c r="I238" s="100">
        <v>2</v>
      </c>
      <c r="J238" s="104">
        <v>45112</v>
      </c>
      <c r="K238" s="100" t="s">
        <v>692</v>
      </c>
      <c r="L238" s="106">
        <v>45112.640497685185</v>
      </c>
      <c r="M238" s="100">
        <v>46</v>
      </c>
    </row>
    <row r="239" spans="1:13" x14ac:dyDescent="0.3">
      <c r="A239" s="100">
        <v>63</v>
      </c>
      <c r="B239" s="103" t="s">
        <v>596</v>
      </c>
      <c r="C239" s="103" t="s">
        <v>597</v>
      </c>
      <c r="D239" s="99">
        <v>213711</v>
      </c>
      <c r="E239" s="103" t="s">
        <v>560</v>
      </c>
      <c r="F239" s="18">
        <v>29</v>
      </c>
      <c r="G239" s="101">
        <v>213348</v>
      </c>
      <c r="H239" s="100" t="s">
        <v>693</v>
      </c>
      <c r="I239" s="100">
        <v>1</v>
      </c>
      <c r="J239" s="104">
        <v>45112</v>
      </c>
      <c r="K239" s="100" t="s">
        <v>694</v>
      </c>
      <c r="L239" s="106">
        <v>45112.640613425923</v>
      </c>
      <c r="M239" s="100">
        <v>47</v>
      </c>
    </row>
    <row r="240" spans="1:13" x14ac:dyDescent="0.3">
      <c r="A240" s="100">
        <v>64</v>
      </c>
      <c r="B240" s="103" t="s">
        <v>596</v>
      </c>
      <c r="C240" s="103" t="s">
        <v>597</v>
      </c>
      <c r="D240" s="99">
        <v>213711</v>
      </c>
      <c r="E240" s="103" t="s">
        <v>560</v>
      </c>
      <c r="F240" s="18">
        <v>29</v>
      </c>
      <c r="G240" s="101">
        <v>213348</v>
      </c>
      <c r="H240" s="100" t="s">
        <v>695</v>
      </c>
      <c r="I240" s="100">
        <v>1</v>
      </c>
      <c r="J240" s="104">
        <v>45112</v>
      </c>
      <c r="K240" s="100" t="s">
        <v>696</v>
      </c>
      <c r="L240" s="106">
        <v>45112.663032407407</v>
      </c>
      <c r="M240" s="100">
        <v>48</v>
      </c>
    </row>
    <row r="241" spans="1:13" x14ac:dyDescent="0.3">
      <c r="A241" s="100">
        <v>65</v>
      </c>
      <c r="B241" s="103" t="s">
        <v>596</v>
      </c>
      <c r="C241" s="103" t="s">
        <v>597</v>
      </c>
      <c r="D241" s="99">
        <v>213711</v>
      </c>
      <c r="E241" s="103" t="s">
        <v>560</v>
      </c>
      <c r="F241" s="18">
        <v>29</v>
      </c>
      <c r="G241" s="101">
        <v>213348</v>
      </c>
      <c r="H241" s="100" t="s">
        <v>697</v>
      </c>
      <c r="I241" s="100">
        <v>3</v>
      </c>
      <c r="J241" s="104">
        <v>45112</v>
      </c>
      <c r="K241" s="100" t="s">
        <v>698</v>
      </c>
      <c r="L241" s="106">
        <v>45112.663101851853</v>
      </c>
      <c r="M241" s="100">
        <v>49</v>
      </c>
    </row>
    <row r="242" spans="1:13" x14ac:dyDescent="0.3">
      <c r="A242" s="100">
        <v>66</v>
      </c>
      <c r="B242" s="103" t="s">
        <v>596</v>
      </c>
      <c r="C242" s="103" t="s">
        <v>597</v>
      </c>
      <c r="D242" s="99">
        <v>213711</v>
      </c>
      <c r="E242" s="103" t="s">
        <v>560</v>
      </c>
      <c r="F242" s="18">
        <v>29</v>
      </c>
      <c r="G242" s="101">
        <v>213348</v>
      </c>
      <c r="H242" s="100" t="s">
        <v>699</v>
      </c>
      <c r="I242" s="100">
        <v>1</v>
      </c>
      <c r="J242" s="104">
        <v>45112</v>
      </c>
      <c r="K242" s="100" t="s">
        <v>700</v>
      </c>
      <c r="L242" s="106">
        <v>45112.663263888891</v>
      </c>
      <c r="M242" s="100">
        <v>50</v>
      </c>
    </row>
    <row r="243" spans="1:13" x14ac:dyDescent="0.3">
      <c r="A243" s="100">
        <v>67</v>
      </c>
      <c r="B243" s="103" t="s">
        <v>596</v>
      </c>
      <c r="C243" s="103" t="s">
        <v>597</v>
      </c>
      <c r="D243" s="99">
        <v>213711</v>
      </c>
      <c r="E243" s="103" t="s">
        <v>560</v>
      </c>
      <c r="F243" s="18">
        <v>29</v>
      </c>
      <c r="G243" s="101">
        <v>213348</v>
      </c>
      <c r="H243" s="100" t="s">
        <v>701</v>
      </c>
      <c r="I243" s="100">
        <v>2</v>
      </c>
      <c r="J243" s="104">
        <v>45112</v>
      </c>
      <c r="K243" s="100" t="s">
        <v>702</v>
      </c>
      <c r="L243" s="106">
        <v>45112.68608796296</v>
      </c>
      <c r="M243" s="100">
        <v>51</v>
      </c>
    </row>
    <row r="244" spans="1:13" x14ac:dyDescent="0.3">
      <c r="A244" s="100">
        <v>68</v>
      </c>
      <c r="B244" s="103" t="s">
        <v>596</v>
      </c>
      <c r="C244" s="103" t="s">
        <v>597</v>
      </c>
      <c r="D244" s="99">
        <v>213711</v>
      </c>
      <c r="E244" s="103" t="s">
        <v>560</v>
      </c>
      <c r="F244" s="18">
        <v>29</v>
      </c>
      <c r="G244" s="101">
        <v>213348</v>
      </c>
      <c r="H244" s="100" t="s">
        <v>703</v>
      </c>
      <c r="I244" s="100">
        <v>2</v>
      </c>
      <c r="J244" s="104">
        <v>45112</v>
      </c>
      <c r="K244" s="100" t="s">
        <v>704</v>
      </c>
      <c r="L244" s="106">
        <v>45112.68644675926</v>
      </c>
      <c r="M244" s="100">
        <v>52</v>
      </c>
    </row>
    <row r="245" spans="1:13" x14ac:dyDescent="0.3">
      <c r="A245" s="100">
        <v>69</v>
      </c>
      <c r="B245" s="103" t="s">
        <v>596</v>
      </c>
      <c r="C245" s="103" t="s">
        <v>597</v>
      </c>
      <c r="D245" s="99">
        <v>213711</v>
      </c>
      <c r="E245" s="103" t="s">
        <v>560</v>
      </c>
      <c r="F245" s="18">
        <v>29</v>
      </c>
      <c r="G245" s="101">
        <v>213348</v>
      </c>
      <c r="H245" s="100" t="s">
        <v>705</v>
      </c>
      <c r="I245" s="100">
        <v>1</v>
      </c>
      <c r="J245" s="104">
        <v>45112</v>
      </c>
      <c r="K245" s="100" t="s">
        <v>706</v>
      </c>
      <c r="L245" s="106">
        <v>45112.686631944445</v>
      </c>
      <c r="M245" s="100">
        <v>53</v>
      </c>
    </row>
    <row r="246" spans="1:13" x14ac:dyDescent="0.3">
      <c r="A246" s="100">
        <v>70</v>
      </c>
      <c r="B246" s="103" t="s">
        <v>596</v>
      </c>
      <c r="C246" s="103" t="s">
        <v>597</v>
      </c>
      <c r="D246" s="99">
        <v>213711</v>
      </c>
      <c r="E246" s="103" t="s">
        <v>707</v>
      </c>
      <c r="F246" s="18">
        <v>31</v>
      </c>
      <c r="G246" s="101">
        <v>213442</v>
      </c>
      <c r="H246" s="100" t="s">
        <v>708</v>
      </c>
      <c r="I246" s="100">
        <v>1</v>
      </c>
      <c r="J246" s="104">
        <v>45112</v>
      </c>
      <c r="K246" s="100" t="s">
        <v>709</v>
      </c>
      <c r="L246" s="106">
        <v>45112.690335648149</v>
      </c>
      <c r="M246" s="100">
        <v>54</v>
      </c>
    </row>
    <row r="247" spans="1:13" x14ac:dyDescent="0.3">
      <c r="A247" s="100">
        <v>71</v>
      </c>
      <c r="B247" s="103" t="s">
        <v>596</v>
      </c>
      <c r="C247" s="103" t="s">
        <v>597</v>
      </c>
      <c r="D247" s="99">
        <v>213711</v>
      </c>
      <c r="E247" s="103" t="s">
        <v>707</v>
      </c>
      <c r="F247" s="18">
        <v>31</v>
      </c>
      <c r="G247" s="101">
        <v>213442</v>
      </c>
      <c r="H247" s="100" t="s">
        <v>710</v>
      </c>
      <c r="I247" s="100">
        <v>2</v>
      </c>
      <c r="J247" s="104">
        <v>45112</v>
      </c>
      <c r="K247" s="100" t="s">
        <v>711</v>
      </c>
      <c r="L247" s="106">
        <v>45112.692511574074</v>
      </c>
      <c r="M247" s="100">
        <v>55</v>
      </c>
    </row>
    <row r="248" spans="1:13" x14ac:dyDescent="0.3">
      <c r="A248" s="100">
        <v>72</v>
      </c>
      <c r="B248" s="103" t="s">
        <v>596</v>
      </c>
      <c r="C248" s="103" t="s">
        <v>597</v>
      </c>
      <c r="D248" s="99">
        <v>213711</v>
      </c>
      <c r="E248" s="103" t="s">
        <v>712</v>
      </c>
      <c r="F248" s="18">
        <v>15</v>
      </c>
      <c r="G248" s="101">
        <v>202196</v>
      </c>
      <c r="H248" s="100" t="s">
        <v>713</v>
      </c>
      <c r="I248" s="100">
        <v>2</v>
      </c>
      <c r="J248" s="104">
        <v>45112</v>
      </c>
      <c r="K248" s="100" t="s">
        <v>714</v>
      </c>
      <c r="L248" s="106">
        <v>45112.702800925923</v>
      </c>
      <c r="M248" s="100">
        <v>56</v>
      </c>
    </row>
    <row r="249" spans="1:13" x14ac:dyDescent="0.3">
      <c r="A249" s="100">
        <v>73</v>
      </c>
      <c r="B249" s="103" t="s">
        <v>596</v>
      </c>
      <c r="C249" s="103" t="s">
        <v>597</v>
      </c>
      <c r="D249" s="99">
        <v>213711</v>
      </c>
      <c r="E249" s="103" t="s">
        <v>712</v>
      </c>
      <c r="F249" s="18">
        <v>15</v>
      </c>
      <c r="G249" s="101">
        <v>202196</v>
      </c>
      <c r="H249" s="100" t="s">
        <v>715</v>
      </c>
      <c r="I249" s="100">
        <v>2</v>
      </c>
      <c r="J249" s="104">
        <v>45112</v>
      </c>
      <c r="K249" s="100" t="s">
        <v>716</v>
      </c>
      <c r="L249" s="106">
        <v>45112.703043981484</v>
      </c>
      <c r="M249" s="100">
        <v>57</v>
      </c>
    </row>
    <row r="250" spans="1:13" x14ac:dyDescent="0.3">
      <c r="A250" s="100">
        <v>74</v>
      </c>
      <c r="B250" s="103" t="s">
        <v>596</v>
      </c>
      <c r="C250" s="103" t="s">
        <v>597</v>
      </c>
      <c r="D250" s="99">
        <v>213711</v>
      </c>
      <c r="E250" s="103" t="s">
        <v>712</v>
      </c>
      <c r="F250" s="18">
        <v>15</v>
      </c>
      <c r="G250" s="101">
        <v>202196</v>
      </c>
      <c r="H250" s="100" t="s">
        <v>717</v>
      </c>
      <c r="I250" s="100">
        <v>0</v>
      </c>
      <c r="J250" s="104">
        <v>45112</v>
      </c>
      <c r="K250" s="100" t="s">
        <v>718</v>
      </c>
      <c r="L250" s="106">
        <v>45112.703611111108</v>
      </c>
      <c r="M250" s="100">
        <v>58</v>
      </c>
    </row>
    <row r="251" spans="1:13" x14ac:dyDescent="0.3">
      <c r="A251" s="100">
        <v>75</v>
      </c>
      <c r="B251" s="103" t="s">
        <v>596</v>
      </c>
      <c r="C251" s="103" t="s">
        <v>597</v>
      </c>
      <c r="D251" s="99">
        <v>213711</v>
      </c>
      <c r="E251" s="103" t="s">
        <v>712</v>
      </c>
      <c r="F251" s="18">
        <v>15</v>
      </c>
      <c r="G251" s="101">
        <v>202196</v>
      </c>
      <c r="H251" s="100" t="s">
        <v>719</v>
      </c>
      <c r="I251" s="100">
        <v>2</v>
      </c>
      <c r="J251" s="104">
        <v>45112</v>
      </c>
      <c r="K251" s="100" t="s">
        <v>720</v>
      </c>
      <c r="L251" s="106">
        <v>45112.703900462962</v>
      </c>
      <c r="M251" s="100">
        <v>59</v>
      </c>
    </row>
    <row r="252" spans="1:13" x14ac:dyDescent="0.3">
      <c r="A252" s="100">
        <v>76</v>
      </c>
      <c r="B252" s="103" t="s">
        <v>596</v>
      </c>
      <c r="C252" s="103" t="s">
        <v>597</v>
      </c>
      <c r="D252" s="99">
        <v>213711</v>
      </c>
      <c r="E252" s="103" t="s">
        <v>712</v>
      </c>
      <c r="F252" s="18">
        <v>15</v>
      </c>
      <c r="G252" s="101">
        <v>202196</v>
      </c>
      <c r="H252" s="100" t="s">
        <v>721</v>
      </c>
      <c r="I252" s="100">
        <v>1</v>
      </c>
      <c r="J252" s="104">
        <v>45112</v>
      </c>
      <c r="K252" s="100" t="s">
        <v>722</v>
      </c>
      <c r="L252" s="106">
        <v>45112.703993055555</v>
      </c>
      <c r="M252" s="100">
        <v>60</v>
      </c>
    </row>
    <row r="253" spans="1:13" x14ac:dyDescent="0.3">
      <c r="A253" s="100">
        <v>77</v>
      </c>
      <c r="B253" s="103" t="s">
        <v>596</v>
      </c>
      <c r="C253" s="103" t="s">
        <v>597</v>
      </c>
      <c r="D253" s="99">
        <v>213711</v>
      </c>
      <c r="E253" s="103" t="s">
        <v>712</v>
      </c>
      <c r="F253" s="18">
        <v>15</v>
      </c>
      <c r="G253" s="101">
        <v>202196</v>
      </c>
      <c r="H253" s="100" t="s">
        <v>723</v>
      </c>
      <c r="I253" s="100">
        <v>1</v>
      </c>
      <c r="J253" s="104">
        <v>45112</v>
      </c>
      <c r="K253" s="100" t="s">
        <v>724</v>
      </c>
      <c r="L253" s="106">
        <v>45112.705787037034</v>
      </c>
      <c r="M253" s="100">
        <v>61</v>
      </c>
    </row>
    <row r="254" spans="1:13" x14ac:dyDescent="0.3">
      <c r="A254" s="100">
        <v>78</v>
      </c>
      <c r="B254" s="103" t="s">
        <v>596</v>
      </c>
      <c r="C254" s="103" t="s">
        <v>597</v>
      </c>
      <c r="D254" s="99">
        <v>213711</v>
      </c>
      <c r="E254" s="103" t="s">
        <v>712</v>
      </c>
      <c r="F254" s="18">
        <v>15</v>
      </c>
      <c r="G254" s="101">
        <v>202196</v>
      </c>
      <c r="H254" s="100" t="s">
        <v>725</v>
      </c>
      <c r="I254" s="100">
        <v>2</v>
      </c>
      <c r="J254" s="104">
        <v>45112</v>
      </c>
      <c r="K254" s="100" t="s">
        <v>726</v>
      </c>
      <c r="L254" s="106">
        <v>45112.712800925925</v>
      </c>
      <c r="M254" s="100">
        <v>62</v>
      </c>
    </row>
    <row r="255" spans="1:13" x14ac:dyDescent="0.3">
      <c r="A255" s="100">
        <v>79</v>
      </c>
      <c r="B255" s="103" t="s">
        <v>596</v>
      </c>
      <c r="C255" s="103" t="s">
        <v>597</v>
      </c>
      <c r="D255" s="99">
        <v>213711</v>
      </c>
      <c r="E255" s="103" t="s">
        <v>712</v>
      </c>
      <c r="F255" s="18">
        <v>15</v>
      </c>
      <c r="G255" s="101">
        <v>202196</v>
      </c>
      <c r="H255" s="100" t="s">
        <v>727</v>
      </c>
      <c r="I255" s="100">
        <v>2</v>
      </c>
      <c r="J255" s="104">
        <v>45112</v>
      </c>
      <c r="K255" s="100" t="s">
        <v>728</v>
      </c>
      <c r="L255" s="106">
        <v>45112.715381944443</v>
      </c>
      <c r="M255" s="100">
        <v>63</v>
      </c>
    </row>
    <row r="256" spans="1:13" x14ac:dyDescent="0.3">
      <c r="A256" s="100">
        <v>80</v>
      </c>
      <c r="B256" s="103" t="s">
        <v>596</v>
      </c>
      <c r="C256" s="103" t="s">
        <v>597</v>
      </c>
      <c r="D256" s="99">
        <v>213711</v>
      </c>
      <c r="E256" s="103" t="s">
        <v>712</v>
      </c>
      <c r="F256" s="18">
        <v>15</v>
      </c>
      <c r="G256" s="101">
        <v>202196</v>
      </c>
      <c r="H256" s="100" t="s">
        <v>729</v>
      </c>
      <c r="I256" s="100">
        <v>2</v>
      </c>
      <c r="J256" s="104">
        <v>45112</v>
      </c>
      <c r="K256" s="100" t="s">
        <v>730</v>
      </c>
      <c r="L256" s="106">
        <v>45112.719548611109</v>
      </c>
      <c r="M256" s="100">
        <v>64</v>
      </c>
    </row>
    <row r="257" spans="1:13" x14ac:dyDescent="0.3">
      <c r="A257" s="100">
        <v>81</v>
      </c>
      <c r="B257" s="103" t="s">
        <v>596</v>
      </c>
      <c r="C257" s="103" t="s">
        <v>597</v>
      </c>
      <c r="D257" s="99">
        <v>213711</v>
      </c>
      <c r="E257" s="103" t="s">
        <v>712</v>
      </c>
      <c r="F257" s="18">
        <v>15</v>
      </c>
      <c r="G257" s="101">
        <v>202196</v>
      </c>
      <c r="H257" s="100" t="s">
        <v>731</v>
      </c>
      <c r="I257" s="100">
        <v>3</v>
      </c>
      <c r="J257" s="104">
        <v>45112</v>
      </c>
      <c r="K257" s="100" t="s">
        <v>732</v>
      </c>
      <c r="L257" s="106">
        <v>45112.755567129629</v>
      </c>
      <c r="M257" s="100">
        <v>65</v>
      </c>
    </row>
    <row r="258" spans="1:13" x14ac:dyDescent="0.3">
      <c r="A258" s="100">
        <v>82</v>
      </c>
      <c r="B258" s="103" t="s">
        <v>596</v>
      </c>
      <c r="C258" s="103" t="s">
        <v>597</v>
      </c>
      <c r="D258" s="99">
        <v>213711</v>
      </c>
      <c r="E258" s="103" t="s">
        <v>712</v>
      </c>
      <c r="F258" s="18">
        <v>15</v>
      </c>
      <c r="G258" s="101">
        <v>202196</v>
      </c>
      <c r="H258" s="100" t="s">
        <v>733</v>
      </c>
      <c r="I258" s="100">
        <v>2</v>
      </c>
      <c r="J258" s="104">
        <v>45112</v>
      </c>
      <c r="K258" s="100" t="s">
        <v>734</v>
      </c>
      <c r="L258" s="106">
        <v>45112.785787037035</v>
      </c>
      <c r="M258" s="100">
        <v>66</v>
      </c>
    </row>
    <row r="259" spans="1:13" x14ac:dyDescent="0.3">
      <c r="A259" s="100">
        <v>83</v>
      </c>
      <c r="B259" s="103" t="s">
        <v>596</v>
      </c>
      <c r="C259" s="103" t="s">
        <v>597</v>
      </c>
      <c r="D259" s="99">
        <v>213711</v>
      </c>
      <c r="E259" s="103" t="s">
        <v>712</v>
      </c>
      <c r="F259" s="18">
        <v>15</v>
      </c>
      <c r="G259" s="101">
        <v>202196</v>
      </c>
      <c r="H259" s="100" t="s">
        <v>735</v>
      </c>
      <c r="I259" s="100">
        <v>1</v>
      </c>
      <c r="J259" s="104">
        <v>45112</v>
      </c>
      <c r="K259" s="100" t="s">
        <v>736</v>
      </c>
      <c r="L259" s="106">
        <v>45112.786030092589</v>
      </c>
      <c r="M259" s="100">
        <v>67</v>
      </c>
    </row>
    <row r="260" spans="1:13" x14ac:dyDescent="0.3">
      <c r="A260" s="100">
        <v>84</v>
      </c>
      <c r="B260" s="103" t="s">
        <v>596</v>
      </c>
      <c r="C260" s="103" t="s">
        <v>597</v>
      </c>
      <c r="D260" s="99">
        <v>213711</v>
      </c>
      <c r="E260" s="103" t="s">
        <v>712</v>
      </c>
      <c r="F260" s="18">
        <v>15</v>
      </c>
      <c r="G260" s="101">
        <v>202196</v>
      </c>
      <c r="H260" s="100" t="s">
        <v>737</v>
      </c>
      <c r="I260" s="100">
        <v>2</v>
      </c>
      <c r="J260" s="104">
        <v>45112</v>
      </c>
      <c r="K260" s="100" t="s">
        <v>738</v>
      </c>
      <c r="L260" s="106">
        <v>45112.786180555559</v>
      </c>
      <c r="M260" s="100">
        <v>68</v>
      </c>
    </row>
    <row r="261" spans="1:13" x14ac:dyDescent="0.3">
      <c r="A261" s="100">
        <v>85</v>
      </c>
      <c r="B261" s="103" t="s">
        <v>596</v>
      </c>
      <c r="C261" s="103" t="s">
        <v>597</v>
      </c>
      <c r="D261" s="99">
        <v>213711</v>
      </c>
      <c r="E261" s="103" t="s">
        <v>344</v>
      </c>
      <c r="F261" s="18">
        <v>13</v>
      </c>
      <c r="G261" s="101">
        <v>202116</v>
      </c>
      <c r="H261" s="100" t="s">
        <v>739</v>
      </c>
      <c r="I261" s="100">
        <v>1</v>
      </c>
      <c r="J261" s="104">
        <v>45112</v>
      </c>
      <c r="K261" s="100" t="s">
        <v>740</v>
      </c>
      <c r="L261" s="106">
        <v>45112.788773148146</v>
      </c>
      <c r="M261" s="100">
        <v>69</v>
      </c>
    </row>
    <row r="262" spans="1:13" x14ac:dyDescent="0.3">
      <c r="A262" s="100">
        <v>86</v>
      </c>
      <c r="B262" s="103" t="s">
        <v>596</v>
      </c>
      <c r="C262" s="103" t="s">
        <v>597</v>
      </c>
      <c r="D262" s="99">
        <v>213711</v>
      </c>
      <c r="E262" s="103" t="s">
        <v>344</v>
      </c>
      <c r="F262" s="18">
        <v>13</v>
      </c>
      <c r="G262" s="101">
        <v>202116</v>
      </c>
      <c r="H262" s="100" t="s">
        <v>741</v>
      </c>
      <c r="I262" s="100">
        <v>1</v>
      </c>
      <c r="J262" s="104">
        <v>45112</v>
      </c>
      <c r="K262" s="100" t="s">
        <v>742</v>
      </c>
      <c r="L262" s="106">
        <v>45112.788807870369</v>
      </c>
      <c r="M262" s="100">
        <v>70</v>
      </c>
    </row>
    <row r="263" spans="1:13" x14ac:dyDescent="0.3">
      <c r="A263" s="100">
        <v>87</v>
      </c>
      <c r="B263" s="103" t="s">
        <v>596</v>
      </c>
      <c r="C263" s="103" t="s">
        <v>597</v>
      </c>
      <c r="D263" s="99">
        <v>213711</v>
      </c>
      <c r="E263" s="103" t="s">
        <v>344</v>
      </c>
      <c r="F263" s="18">
        <v>13</v>
      </c>
      <c r="G263" s="101">
        <v>202116</v>
      </c>
      <c r="H263" s="100" t="s">
        <v>743</v>
      </c>
      <c r="I263" s="100">
        <v>1</v>
      </c>
      <c r="J263" s="104">
        <v>45112</v>
      </c>
      <c r="K263" s="100" t="s">
        <v>744</v>
      </c>
      <c r="L263" s="106">
        <v>45112.788981481484</v>
      </c>
      <c r="M263" s="100">
        <v>71</v>
      </c>
    </row>
    <row r="264" spans="1:13" x14ac:dyDescent="0.3">
      <c r="A264" s="100">
        <v>88</v>
      </c>
      <c r="B264" s="103" t="s">
        <v>596</v>
      </c>
      <c r="C264" s="103" t="s">
        <v>597</v>
      </c>
      <c r="D264" s="99">
        <v>213711</v>
      </c>
      <c r="E264" s="103" t="s">
        <v>344</v>
      </c>
      <c r="F264" s="18">
        <v>13</v>
      </c>
      <c r="G264" s="101">
        <v>202116</v>
      </c>
      <c r="H264" s="100" t="s">
        <v>745</v>
      </c>
      <c r="I264" s="100">
        <v>3</v>
      </c>
      <c r="J264" s="104">
        <v>45112</v>
      </c>
      <c r="K264" s="100" t="s">
        <v>746</v>
      </c>
      <c r="L264" s="106">
        <v>45112.789525462962</v>
      </c>
      <c r="M264" s="100">
        <v>72</v>
      </c>
    </row>
    <row r="265" spans="1:13" x14ac:dyDescent="0.3">
      <c r="A265" s="100">
        <v>89</v>
      </c>
      <c r="B265" s="103" t="s">
        <v>596</v>
      </c>
      <c r="C265" s="103" t="s">
        <v>597</v>
      </c>
      <c r="D265" s="99">
        <v>213711</v>
      </c>
      <c r="E265" s="103" t="s">
        <v>344</v>
      </c>
      <c r="F265" s="18">
        <v>13</v>
      </c>
      <c r="G265" s="101">
        <v>202116</v>
      </c>
      <c r="H265" s="100" t="s">
        <v>747</v>
      </c>
      <c r="I265" s="100">
        <v>1</v>
      </c>
      <c r="J265" s="104">
        <v>45112</v>
      </c>
      <c r="K265" s="100" t="s">
        <v>748</v>
      </c>
      <c r="L265" s="106">
        <v>45112.789571759262</v>
      </c>
      <c r="M265" s="100">
        <v>73</v>
      </c>
    </row>
    <row r="266" spans="1:13" x14ac:dyDescent="0.3">
      <c r="A266" s="100">
        <v>90</v>
      </c>
      <c r="B266" s="103" t="s">
        <v>596</v>
      </c>
      <c r="C266" s="103" t="s">
        <v>597</v>
      </c>
      <c r="D266" s="99">
        <v>213711</v>
      </c>
      <c r="E266" s="103" t="s">
        <v>344</v>
      </c>
      <c r="F266" s="109">
        <v>13</v>
      </c>
      <c r="G266" s="110">
        <v>202116</v>
      </c>
      <c r="H266" s="100" t="s">
        <v>749</v>
      </c>
      <c r="I266" s="100">
        <v>2</v>
      </c>
      <c r="J266" s="104">
        <v>45112</v>
      </c>
      <c r="K266" s="100" t="s">
        <v>750</v>
      </c>
      <c r="L266" s="106">
        <v>45112.790335648147</v>
      </c>
      <c r="M266" s="100">
        <v>74</v>
      </c>
    </row>
    <row r="267" spans="1:13" x14ac:dyDescent="0.3">
      <c r="A267" s="100">
        <v>91</v>
      </c>
      <c r="B267" s="103" t="s">
        <v>596</v>
      </c>
      <c r="C267" s="103" t="s">
        <v>597</v>
      </c>
      <c r="D267" s="99">
        <v>213711</v>
      </c>
      <c r="E267" s="103" t="s">
        <v>344</v>
      </c>
      <c r="F267" s="18">
        <v>13</v>
      </c>
      <c r="G267" s="101">
        <v>202116</v>
      </c>
      <c r="H267" s="100" t="s">
        <v>751</v>
      </c>
      <c r="I267" s="100">
        <v>0</v>
      </c>
      <c r="J267" s="104">
        <v>45112</v>
      </c>
      <c r="K267" s="100" t="s">
        <v>752</v>
      </c>
      <c r="L267" s="106">
        <v>45112.790972222225</v>
      </c>
      <c r="M267" s="100">
        <v>75</v>
      </c>
    </row>
    <row r="268" spans="1:13" x14ac:dyDescent="0.3">
      <c r="A268" s="100">
        <v>92</v>
      </c>
      <c r="B268" s="103" t="s">
        <v>596</v>
      </c>
      <c r="C268" s="103" t="s">
        <v>597</v>
      </c>
      <c r="D268" s="99">
        <v>213711</v>
      </c>
      <c r="E268" s="103" t="s">
        <v>344</v>
      </c>
      <c r="F268" s="18">
        <v>13</v>
      </c>
      <c r="G268" s="101">
        <v>202116</v>
      </c>
      <c r="H268" s="100" t="s">
        <v>753</v>
      </c>
      <c r="I268" s="100">
        <v>1</v>
      </c>
      <c r="J268" s="104">
        <v>45112</v>
      </c>
      <c r="K268" s="100" t="s">
        <v>754</v>
      </c>
      <c r="L268" s="106">
        <v>45112.791122685187</v>
      </c>
      <c r="M268" s="100">
        <v>76</v>
      </c>
    </row>
    <row r="269" spans="1:13" x14ac:dyDescent="0.3">
      <c r="A269" s="100">
        <v>93</v>
      </c>
      <c r="B269" s="103" t="s">
        <v>596</v>
      </c>
      <c r="C269" s="103" t="s">
        <v>597</v>
      </c>
      <c r="D269" s="99">
        <v>213711</v>
      </c>
      <c r="E269" s="103" t="s">
        <v>755</v>
      </c>
      <c r="F269" s="18">
        <v>19</v>
      </c>
      <c r="G269" s="101">
        <v>202451</v>
      </c>
      <c r="H269" s="100" t="s">
        <v>756</v>
      </c>
      <c r="I269" s="100">
        <v>2</v>
      </c>
      <c r="J269" s="104">
        <v>45112</v>
      </c>
      <c r="K269" s="100" t="s">
        <v>757</v>
      </c>
      <c r="L269" s="106">
        <v>45112.791516203702</v>
      </c>
      <c r="M269" s="100">
        <v>77</v>
      </c>
    </row>
    <row r="270" spans="1:13" x14ac:dyDescent="0.3">
      <c r="A270" s="100">
        <v>94</v>
      </c>
      <c r="B270" s="103" t="s">
        <v>596</v>
      </c>
      <c r="C270" s="103" t="s">
        <v>597</v>
      </c>
      <c r="D270" s="99">
        <v>213711</v>
      </c>
      <c r="E270" s="103" t="s">
        <v>755</v>
      </c>
      <c r="F270" s="18">
        <v>19</v>
      </c>
      <c r="G270" s="101">
        <v>202451</v>
      </c>
      <c r="H270" s="100" t="s">
        <v>758</v>
      </c>
      <c r="I270" s="100">
        <v>1</v>
      </c>
      <c r="J270" s="104">
        <v>45112</v>
      </c>
      <c r="K270" s="100" t="s">
        <v>759</v>
      </c>
      <c r="L270" s="106">
        <v>45112.791574074072</v>
      </c>
      <c r="M270" s="100">
        <v>78</v>
      </c>
    </row>
    <row r="271" spans="1:13" x14ac:dyDescent="0.3">
      <c r="A271" s="100">
        <v>95</v>
      </c>
      <c r="B271" s="103" t="s">
        <v>596</v>
      </c>
      <c r="C271" s="103" t="s">
        <v>597</v>
      </c>
      <c r="D271" s="99">
        <v>213711</v>
      </c>
      <c r="E271" s="103" t="s">
        <v>707</v>
      </c>
      <c r="F271" s="18">
        <v>31</v>
      </c>
      <c r="G271" s="101">
        <v>213442</v>
      </c>
      <c r="H271" s="100" t="s">
        <v>760</v>
      </c>
      <c r="I271" s="100">
        <v>1</v>
      </c>
      <c r="J271" s="104">
        <v>45112</v>
      </c>
      <c r="K271" s="100" t="s">
        <v>761</v>
      </c>
      <c r="L271" s="106">
        <v>45112.932523148149</v>
      </c>
      <c r="M271" s="100">
        <v>79</v>
      </c>
    </row>
    <row r="272" spans="1:13" x14ac:dyDescent="0.3">
      <c r="A272" s="100">
        <v>96</v>
      </c>
      <c r="B272" s="103" t="s">
        <v>596</v>
      </c>
      <c r="C272" s="103" t="s">
        <v>597</v>
      </c>
      <c r="D272" s="99">
        <v>213711</v>
      </c>
      <c r="E272" s="103" t="s">
        <v>707</v>
      </c>
      <c r="F272" s="18">
        <v>31</v>
      </c>
      <c r="G272" s="101">
        <v>213442</v>
      </c>
      <c r="H272" s="100" t="s">
        <v>762</v>
      </c>
      <c r="I272" s="100">
        <v>0</v>
      </c>
      <c r="J272" s="104">
        <v>45112</v>
      </c>
      <c r="K272" s="100" t="s">
        <v>763</v>
      </c>
      <c r="L272" s="106">
        <v>45112.932546296295</v>
      </c>
      <c r="M272" s="100">
        <v>80</v>
      </c>
    </row>
    <row r="273" spans="1:13" x14ac:dyDescent="0.3">
      <c r="A273" s="100">
        <v>97</v>
      </c>
      <c r="B273" s="103" t="s">
        <v>596</v>
      </c>
      <c r="C273" s="103" t="s">
        <v>597</v>
      </c>
      <c r="D273" s="99">
        <v>213711</v>
      </c>
      <c r="E273" s="103" t="s">
        <v>707</v>
      </c>
      <c r="F273" s="18">
        <v>31</v>
      </c>
      <c r="G273" s="101">
        <v>213442</v>
      </c>
      <c r="H273" s="100" t="s">
        <v>764</v>
      </c>
      <c r="I273" s="100">
        <v>0</v>
      </c>
      <c r="J273" s="104">
        <v>45113</v>
      </c>
      <c r="K273" s="100" t="s">
        <v>765</v>
      </c>
      <c r="L273" s="106">
        <v>45113.00953703704</v>
      </c>
      <c r="M273" s="100">
        <v>81</v>
      </c>
    </row>
    <row r="274" spans="1:13" x14ac:dyDescent="0.3">
      <c r="A274" s="100">
        <v>99</v>
      </c>
      <c r="B274" s="103" t="s">
        <v>596</v>
      </c>
      <c r="C274" s="103" t="s">
        <v>597</v>
      </c>
      <c r="D274" s="99">
        <v>213711</v>
      </c>
      <c r="E274" s="103" t="s">
        <v>707</v>
      </c>
      <c r="F274" s="18">
        <v>31</v>
      </c>
      <c r="G274" s="101">
        <v>213442</v>
      </c>
      <c r="H274" s="100" t="s">
        <v>767</v>
      </c>
      <c r="I274" s="100">
        <v>1</v>
      </c>
      <c r="J274" s="104">
        <v>45113</v>
      </c>
      <c r="K274" s="100" t="s">
        <v>768</v>
      </c>
      <c r="L274" s="106">
        <v>45113.019502314812</v>
      </c>
      <c r="M274" s="100">
        <v>83</v>
      </c>
    </row>
    <row r="275" spans="1:13" x14ac:dyDescent="0.3">
      <c r="A275" s="100">
        <v>100</v>
      </c>
      <c r="B275" s="103" t="s">
        <v>596</v>
      </c>
      <c r="C275" s="103" t="s">
        <v>597</v>
      </c>
      <c r="D275" s="99">
        <v>213711</v>
      </c>
      <c r="E275" s="103" t="s">
        <v>707</v>
      </c>
      <c r="F275" s="18">
        <v>31</v>
      </c>
      <c r="G275" s="101">
        <v>213442</v>
      </c>
      <c r="H275" s="100" t="s">
        <v>769</v>
      </c>
      <c r="I275" s="100">
        <v>2</v>
      </c>
      <c r="J275" s="104">
        <v>45113</v>
      </c>
      <c r="K275" s="100" t="s">
        <v>770</v>
      </c>
      <c r="L275" s="106">
        <v>45113.022060185183</v>
      </c>
      <c r="M275" s="100">
        <v>84</v>
      </c>
    </row>
    <row r="276" spans="1:13" x14ac:dyDescent="0.3">
      <c r="A276" s="100">
        <v>101</v>
      </c>
      <c r="B276" s="103" t="s">
        <v>596</v>
      </c>
      <c r="C276" s="103" t="s">
        <v>597</v>
      </c>
      <c r="D276" s="99">
        <v>213711</v>
      </c>
      <c r="E276" s="103" t="s">
        <v>707</v>
      </c>
      <c r="F276" s="18">
        <v>31</v>
      </c>
      <c r="G276" s="101">
        <v>213442</v>
      </c>
      <c r="H276" s="100" t="s">
        <v>771</v>
      </c>
      <c r="I276" s="100">
        <v>2</v>
      </c>
      <c r="J276" s="104">
        <v>45113</v>
      </c>
      <c r="K276" s="100" t="s">
        <v>772</v>
      </c>
      <c r="L276" s="106">
        <v>45113.023182870369</v>
      </c>
      <c r="M276" s="100">
        <v>85</v>
      </c>
    </row>
    <row r="277" spans="1:13" x14ac:dyDescent="0.3">
      <c r="A277" s="100">
        <v>102</v>
      </c>
      <c r="B277" s="103" t="s">
        <v>596</v>
      </c>
      <c r="C277" s="103" t="s">
        <v>597</v>
      </c>
      <c r="D277" s="99">
        <v>213711</v>
      </c>
      <c r="E277" s="103" t="s">
        <v>707</v>
      </c>
      <c r="F277" s="18">
        <v>31</v>
      </c>
      <c r="G277" s="101">
        <v>213442</v>
      </c>
      <c r="H277" s="100" t="s">
        <v>773</v>
      </c>
      <c r="I277" s="100">
        <v>2</v>
      </c>
      <c r="J277" s="104">
        <v>45113</v>
      </c>
      <c r="K277" s="100" t="s">
        <v>774</v>
      </c>
      <c r="L277" s="106">
        <v>45113.023206018515</v>
      </c>
      <c r="M277" s="100">
        <v>86</v>
      </c>
    </row>
    <row r="278" spans="1:13" x14ac:dyDescent="0.3">
      <c r="A278" s="100">
        <v>103</v>
      </c>
      <c r="B278" s="103" t="s">
        <v>596</v>
      </c>
      <c r="C278" s="103" t="s">
        <v>597</v>
      </c>
      <c r="D278" s="99">
        <v>213711</v>
      </c>
      <c r="E278" s="103" t="s">
        <v>707</v>
      </c>
      <c r="F278" s="18">
        <v>31</v>
      </c>
      <c r="G278" s="101">
        <v>213442</v>
      </c>
      <c r="H278" s="100" t="s">
        <v>775</v>
      </c>
      <c r="I278" s="100">
        <v>1</v>
      </c>
      <c r="J278" s="104">
        <v>45113</v>
      </c>
      <c r="K278" s="100" t="s">
        <v>776</v>
      </c>
      <c r="L278" s="106">
        <v>45113.024537037039</v>
      </c>
      <c r="M278" s="100">
        <v>87</v>
      </c>
    </row>
    <row r="279" spans="1:13" x14ac:dyDescent="0.3">
      <c r="A279" s="100">
        <v>104</v>
      </c>
      <c r="B279" s="103" t="s">
        <v>596</v>
      </c>
      <c r="C279" s="103" t="s">
        <v>597</v>
      </c>
      <c r="D279" s="99">
        <v>213711</v>
      </c>
      <c r="E279" s="103" t="s">
        <v>707</v>
      </c>
      <c r="F279" s="18">
        <v>31</v>
      </c>
      <c r="G279" s="101">
        <v>213442</v>
      </c>
      <c r="H279" s="100" t="s">
        <v>777</v>
      </c>
      <c r="I279" s="100">
        <v>0</v>
      </c>
      <c r="J279" s="104">
        <v>45113</v>
      </c>
      <c r="K279" s="100" t="s">
        <v>778</v>
      </c>
      <c r="L279" s="106">
        <v>45113.037106481483</v>
      </c>
      <c r="M279" s="100">
        <v>88</v>
      </c>
    </row>
    <row r="280" spans="1:13" x14ac:dyDescent="0.3">
      <c r="A280" s="100">
        <v>105</v>
      </c>
      <c r="B280" s="103" t="s">
        <v>596</v>
      </c>
      <c r="C280" s="103" t="s">
        <v>597</v>
      </c>
      <c r="D280" s="99">
        <v>213711</v>
      </c>
      <c r="E280" s="103" t="s">
        <v>707</v>
      </c>
      <c r="F280" s="18">
        <v>31</v>
      </c>
      <c r="G280" s="101">
        <v>213442</v>
      </c>
      <c r="H280" s="100" t="s">
        <v>779</v>
      </c>
      <c r="I280" s="100">
        <v>0</v>
      </c>
      <c r="J280" s="104">
        <v>45113</v>
      </c>
      <c r="K280" s="100" t="s">
        <v>780</v>
      </c>
      <c r="L280" s="106">
        <v>45113.037141203706</v>
      </c>
      <c r="M280" s="100">
        <v>89</v>
      </c>
    </row>
    <row r="281" spans="1:13" x14ac:dyDescent="0.3">
      <c r="A281" s="100">
        <v>106</v>
      </c>
      <c r="B281" s="103" t="s">
        <v>596</v>
      </c>
      <c r="C281" s="103" t="s">
        <v>597</v>
      </c>
      <c r="D281" s="99">
        <v>213711</v>
      </c>
      <c r="E281" s="103" t="s">
        <v>707</v>
      </c>
      <c r="F281" s="18">
        <v>31</v>
      </c>
      <c r="G281" s="101">
        <v>213442</v>
      </c>
      <c r="H281" s="100" t="s">
        <v>781</v>
      </c>
      <c r="I281" s="100">
        <v>0</v>
      </c>
      <c r="J281" s="104">
        <v>45113</v>
      </c>
      <c r="K281" s="100" t="s">
        <v>782</v>
      </c>
      <c r="L281" s="106">
        <v>45113.039768518516</v>
      </c>
      <c r="M281" s="100">
        <v>90</v>
      </c>
    </row>
    <row r="282" spans="1:13" x14ac:dyDescent="0.3">
      <c r="A282" s="100">
        <v>107</v>
      </c>
      <c r="B282" s="103" t="s">
        <v>596</v>
      </c>
      <c r="C282" s="103" t="s">
        <v>597</v>
      </c>
      <c r="D282" s="99">
        <v>213711</v>
      </c>
      <c r="E282" s="103" t="s">
        <v>755</v>
      </c>
      <c r="F282" s="18">
        <v>19</v>
      </c>
      <c r="G282" s="101">
        <v>202451</v>
      </c>
      <c r="H282" s="100" t="s">
        <v>783</v>
      </c>
      <c r="I282" s="100">
        <v>0</v>
      </c>
      <c r="J282" s="104">
        <v>45113</v>
      </c>
      <c r="K282" s="100" t="s">
        <v>784</v>
      </c>
      <c r="L282" s="106">
        <v>45113.079247685186</v>
      </c>
      <c r="M282" s="100">
        <v>91</v>
      </c>
    </row>
    <row r="283" spans="1:13" x14ac:dyDescent="0.3">
      <c r="A283" s="100">
        <v>108</v>
      </c>
      <c r="B283" s="103" t="s">
        <v>596</v>
      </c>
      <c r="C283" s="103" t="s">
        <v>597</v>
      </c>
      <c r="D283" s="99">
        <v>213711</v>
      </c>
      <c r="E283" s="103" t="s">
        <v>755</v>
      </c>
      <c r="F283" s="18">
        <v>19</v>
      </c>
      <c r="G283" s="101">
        <v>202451</v>
      </c>
      <c r="H283" s="100" t="s">
        <v>785</v>
      </c>
      <c r="I283" s="100">
        <v>2</v>
      </c>
      <c r="J283" s="104">
        <v>45113</v>
      </c>
      <c r="K283" s="100" t="s">
        <v>786</v>
      </c>
      <c r="L283" s="106">
        <v>45113.079293981478</v>
      </c>
      <c r="M283" s="100">
        <v>92</v>
      </c>
    </row>
    <row r="284" spans="1:13" x14ac:dyDescent="0.3">
      <c r="A284" s="100">
        <v>109</v>
      </c>
      <c r="B284" s="103" t="s">
        <v>596</v>
      </c>
      <c r="C284" s="103" t="s">
        <v>597</v>
      </c>
      <c r="D284" s="99">
        <v>213711</v>
      </c>
      <c r="E284" s="103" t="s">
        <v>755</v>
      </c>
      <c r="F284" s="18">
        <v>19</v>
      </c>
      <c r="G284" s="101">
        <v>202451</v>
      </c>
      <c r="H284" s="100" t="s">
        <v>787</v>
      </c>
      <c r="I284" s="100">
        <v>1</v>
      </c>
      <c r="J284" s="104">
        <v>45113</v>
      </c>
      <c r="K284" s="100" t="s">
        <v>788</v>
      </c>
      <c r="L284" s="106">
        <v>45113.079861111109</v>
      </c>
      <c r="M284" s="100">
        <v>93</v>
      </c>
    </row>
    <row r="285" spans="1:13" x14ac:dyDescent="0.3">
      <c r="A285" s="100">
        <v>110</v>
      </c>
      <c r="B285" s="103" t="s">
        <v>596</v>
      </c>
      <c r="C285" s="103" t="s">
        <v>597</v>
      </c>
      <c r="D285" s="99">
        <v>213711</v>
      </c>
      <c r="E285" s="103" t="s">
        <v>755</v>
      </c>
      <c r="F285" s="18">
        <v>19</v>
      </c>
      <c r="G285" s="101">
        <v>202451</v>
      </c>
      <c r="H285" s="100" t="s">
        <v>789</v>
      </c>
      <c r="I285" s="100">
        <v>0</v>
      </c>
      <c r="J285" s="104">
        <v>45113</v>
      </c>
      <c r="K285" s="100" t="s">
        <v>790</v>
      </c>
      <c r="L285" s="106">
        <v>45113.084583333337</v>
      </c>
      <c r="M285" s="100">
        <v>94</v>
      </c>
    </row>
    <row r="286" spans="1:13" x14ac:dyDescent="0.3">
      <c r="A286" s="100">
        <v>111</v>
      </c>
      <c r="B286" s="103" t="s">
        <v>596</v>
      </c>
      <c r="C286" s="103" t="s">
        <v>597</v>
      </c>
      <c r="D286" s="99">
        <v>213711</v>
      </c>
      <c r="E286" s="103" t="s">
        <v>755</v>
      </c>
      <c r="F286" s="18">
        <v>19</v>
      </c>
      <c r="G286" s="101">
        <v>202451</v>
      </c>
      <c r="H286" s="100" t="s">
        <v>791</v>
      </c>
      <c r="I286" s="100">
        <v>2</v>
      </c>
      <c r="J286" s="104">
        <v>45113</v>
      </c>
      <c r="K286" s="100" t="s">
        <v>792</v>
      </c>
      <c r="L286" s="106">
        <v>45113.084618055553</v>
      </c>
      <c r="M286" s="100">
        <v>95</v>
      </c>
    </row>
    <row r="287" spans="1:13" x14ac:dyDescent="0.3">
      <c r="A287" s="100">
        <v>112</v>
      </c>
      <c r="B287" s="103" t="s">
        <v>596</v>
      </c>
      <c r="C287" s="103" t="s">
        <v>597</v>
      </c>
      <c r="D287" s="99">
        <v>213711</v>
      </c>
      <c r="E287" s="103" t="s">
        <v>707</v>
      </c>
      <c r="F287" s="18">
        <v>31</v>
      </c>
      <c r="G287" s="101">
        <v>213442</v>
      </c>
      <c r="H287" s="100" t="s">
        <v>793</v>
      </c>
      <c r="I287" s="100">
        <v>3</v>
      </c>
      <c r="J287" s="104">
        <v>45113</v>
      </c>
      <c r="K287" s="100" t="s">
        <v>794</v>
      </c>
      <c r="L287" s="106">
        <v>45113.122650462959</v>
      </c>
      <c r="M287" s="100">
        <v>96</v>
      </c>
    </row>
    <row r="288" spans="1:13" x14ac:dyDescent="0.3">
      <c r="A288" s="100">
        <v>113</v>
      </c>
      <c r="B288" s="103" t="s">
        <v>596</v>
      </c>
      <c r="C288" s="103" t="s">
        <v>597</v>
      </c>
      <c r="D288" s="99">
        <v>213711</v>
      </c>
      <c r="E288" s="103" t="s">
        <v>707</v>
      </c>
      <c r="F288" s="18">
        <v>31</v>
      </c>
      <c r="G288" s="101">
        <v>213442</v>
      </c>
      <c r="H288" s="100" t="s">
        <v>795</v>
      </c>
      <c r="I288" s="100">
        <v>1</v>
      </c>
      <c r="J288" s="104">
        <v>45113</v>
      </c>
      <c r="K288" s="100" t="s">
        <v>796</v>
      </c>
      <c r="L288" s="106">
        <v>45113.124930555554</v>
      </c>
      <c r="M288" s="100">
        <v>97</v>
      </c>
    </row>
    <row r="289" spans="1:13" x14ac:dyDescent="0.3">
      <c r="A289" s="100">
        <v>114</v>
      </c>
      <c r="B289" s="103" t="s">
        <v>596</v>
      </c>
      <c r="C289" s="103" t="s">
        <v>597</v>
      </c>
      <c r="D289" s="99">
        <v>213711</v>
      </c>
      <c r="E289" s="103" t="s">
        <v>707</v>
      </c>
      <c r="F289" s="18">
        <v>31</v>
      </c>
      <c r="G289" s="101">
        <v>213442</v>
      </c>
      <c r="H289" s="100" t="s">
        <v>797</v>
      </c>
      <c r="I289" s="100">
        <v>3</v>
      </c>
      <c r="J289" s="104">
        <v>45113</v>
      </c>
      <c r="K289" s="100" t="s">
        <v>798</v>
      </c>
      <c r="L289" s="106">
        <v>45113.190023148149</v>
      </c>
      <c r="M289" s="100">
        <v>98</v>
      </c>
    </row>
    <row r="290" spans="1:13" x14ac:dyDescent="0.3">
      <c r="A290" s="100">
        <v>115</v>
      </c>
      <c r="B290" s="103" t="s">
        <v>596</v>
      </c>
      <c r="C290" s="103" t="s">
        <v>597</v>
      </c>
      <c r="D290" s="99">
        <v>213711</v>
      </c>
      <c r="E290" s="103" t="s">
        <v>707</v>
      </c>
      <c r="F290" s="18">
        <v>31</v>
      </c>
      <c r="G290" s="101">
        <v>213442</v>
      </c>
      <c r="H290" s="100" t="s">
        <v>799</v>
      </c>
      <c r="I290" s="100">
        <v>1</v>
      </c>
      <c r="J290" s="104">
        <v>45113</v>
      </c>
      <c r="K290" s="100" t="s">
        <v>800</v>
      </c>
      <c r="L290" s="106">
        <v>45113.19122685185</v>
      </c>
      <c r="M290" s="100">
        <v>99</v>
      </c>
    </row>
    <row r="291" spans="1:13" x14ac:dyDescent="0.3">
      <c r="A291" s="100">
        <v>116</v>
      </c>
      <c r="B291" s="103" t="s">
        <v>596</v>
      </c>
      <c r="C291" s="103" t="s">
        <v>597</v>
      </c>
      <c r="D291" s="99">
        <v>213711</v>
      </c>
      <c r="E291" s="103" t="s">
        <v>707</v>
      </c>
      <c r="F291" s="18">
        <v>31</v>
      </c>
      <c r="G291" s="101">
        <v>213442</v>
      </c>
      <c r="H291" s="100" t="s">
        <v>801</v>
      </c>
      <c r="I291" s="100">
        <v>1</v>
      </c>
      <c r="J291" s="104">
        <v>45113</v>
      </c>
      <c r="K291" s="100" t="s">
        <v>802</v>
      </c>
      <c r="L291" s="106">
        <v>45113.191550925927</v>
      </c>
      <c r="M291" s="100">
        <v>100</v>
      </c>
    </row>
    <row r="292" spans="1:13" x14ac:dyDescent="0.3">
      <c r="A292" s="100">
        <v>117</v>
      </c>
      <c r="B292" s="103" t="s">
        <v>596</v>
      </c>
      <c r="C292" s="103" t="s">
        <v>597</v>
      </c>
      <c r="D292" s="99">
        <v>213711</v>
      </c>
      <c r="E292" s="103" t="s">
        <v>707</v>
      </c>
      <c r="F292" s="18">
        <v>31</v>
      </c>
      <c r="G292" s="101">
        <v>213442</v>
      </c>
      <c r="H292" s="100" t="s">
        <v>803</v>
      </c>
      <c r="I292" s="100">
        <v>0</v>
      </c>
      <c r="J292" s="104">
        <v>45113</v>
      </c>
      <c r="K292" s="100" t="s">
        <v>804</v>
      </c>
      <c r="L292" s="106">
        <v>45113.19222222222</v>
      </c>
      <c r="M292" s="100">
        <v>101</v>
      </c>
    </row>
    <row r="293" spans="1:13" x14ac:dyDescent="0.3">
      <c r="A293" s="100">
        <v>118</v>
      </c>
      <c r="B293" s="103" t="s">
        <v>596</v>
      </c>
      <c r="C293" s="103" t="s">
        <v>597</v>
      </c>
      <c r="D293" s="99">
        <v>213711</v>
      </c>
      <c r="E293" s="103" t="s">
        <v>707</v>
      </c>
      <c r="F293" s="18">
        <v>31</v>
      </c>
      <c r="G293" s="101">
        <v>213442</v>
      </c>
      <c r="H293" s="100" t="s">
        <v>805</v>
      </c>
      <c r="I293" s="100">
        <v>2</v>
      </c>
      <c r="J293" s="104">
        <v>45113</v>
      </c>
      <c r="K293" s="100" t="s">
        <v>806</v>
      </c>
      <c r="L293" s="106">
        <v>45113.192835648151</v>
      </c>
      <c r="M293" s="100">
        <v>102</v>
      </c>
    </row>
    <row r="294" spans="1:13" x14ac:dyDescent="0.3">
      <c r="A294" s="100">
        <v>119</v>
      </c>
      <c r="B294" s="103" t="s">
        <v>596</v>
      </c>
      <c r="C294" s="103" t="s">
        <v>597</v>
      </c>
      <c r="D294" s="99">
        <v>213711</v>
      </c>
      <c r="E294" s="103" t="s">
        <v>707</v>
      </c>
      <c r="F294" s="18">
        <v>31</v>
      </c>
      <c r="G294" s="101">
        <v>213442</v>
      </c>
      <c r="H294" s="100" t="s">
        <v>807</v>
      </c>
      <c r="I294" s="100">
        <v>1</v>
      </c>
      <c r="J294" s="104">
        <v>45113</v>
      </c>
      <c r="K294" s="100" t="s">
        <v>808</v>
      </c>
      <c r="L294" s="106">
        <v>45113.193240740744</v>
      </c>
      <c r="M294" s="100">
        <v>103</v>
      </c>
    </row>
    <row r="295" spans="1:13" x14ac:dyDescent="0.3">
      <c r="A295" s="100">
        <v>120</v>
      </c>
      <c r="B295" s="103" t="s">
        <v>596</v>
      </c>
      <c r="C295" s="103" t="s">
        <v>597</v>
      </c>
      <c r="D295" s="99">
        <v>213711</v>
      </c>
      <c r="E295" s="103" t="s">
        <v>707</v>
      </c>
      <c r="F295" s="18">
        <v>31</v>
      </c>
      <c r="G295" s="101">
        <v>213442</v>
      </c>
      <c r="H295" s="100" t="s">
        <v>809</v>
      </c>
      <c r="I295" s="100">
        <v>4</v>
      </c>
      <c r="J295" s="104">
        <v>45113</v>
      </c>
      <c r="K295" s="100" t="s">
        <v>810</v>
      </c>
      <c r="L295" s="106">
        <v>45113.194548611114</v>
      </c>
      <c r="M295" s="100">
        <v>104</v>
      </c>
    </row>
    <row r="296" spans="1:13" x14ac:dyDescent="0.3">
      <c r="A296" s="100">
        <v>121</v>
      </c>
      <c r="B296" s="103" t="s">
        <v>596</v>
      </c>
      <c r="C296" s="103" t="s">
        <v>597</v>
      </c>
      <c r="D296" s="99">
        <v>213711</v>
      </c>
      <c r="E296" s="103" t="s">
        <v>707</v>
      </c>
      <c r="F296" s="18">
        <v>31</v>
      </c>
      <c r="G296" s="101">
        <v>213442</v>
      </c>
      <c r="H296" s="100" t="s">
        <v>811</v>
      </c>
      <c r="I296" s="100">
        <v>2</v>
      </c>
      <c r="J296" s="104">
        <v>45113</v>
      </c>
      <c r="K296" s="100" t="s">
        <v>812</v>
      </c>
      <c r="L296" s="106">
        <v>45113.194733796299</v>
      </c>
      <c r="M296" s="100">
        <v>105</v>
      </c>
    </row>
    <row r="297" spans="1:13" x14ac:dyDescent="0.3">
      <c r="A297" s="100">
        <v>122</v>
      </c>
      <c r="B297" s="103" t="s">
        <v>596</v>
      </c>
      <c r="C297" s="103" t="s">
        <v>597</v>
      </c>
      <c r="D297" s="99">
        <v>213711</v>
      </c>
      <c r="E297" s="103" t="s">
        <v>707</v>
      </c>
      <c r="F297" s="18">
        <v>31</v>
      </c>
      <c r="G297" s="101">
        <v>213442</v>
      </c>
      <c r="H297" s="100" t="s">
        <v>813</v>
      </c>
      <c r="I297" s="100">
        <v>3</v>
      </c>
      <c r="J297" s="104">
        <v>45113</v>
      </c>
      <c r="K297" s="100" t="s">
        <v>814</v>
      </c>
      <c r="L297" s="106">
        <v>45113.194907407407</v>
      </c>
      <c r="M297" s="100">
        <v>106</v>
      </c>
    </row>
    <row r="298" spans="1:13" x14ac:dyDescent="0.3">
      <c r="A298" s="100">
        <v>123</v>
      </c>
      <c r="B298" s="103" t="s">
        <v>596</v>
      </c>
      <c r="C298" s="103" t="s">
        <v>597</v>
      </c>
      <c r="D298" s="99">
        <v>213711</v>
      </c>
      <c r="E298" s="103" t="s">
        <v>707</v>
      </c>
      <c r="F298" s="18">
        <v>31</v>
      </c>
      <c r="G298" s="101">
        <v>213442</v>
      </c>
      <c r="H298" s="100" t="s">
        <v>815</v>
      </c>
      <c r="I298" s="100">
        <v>3</v>
      </c>
      <c r="J298" s="104">
        <v>45113</v>
      </c>
      <c r="K298" s="100" t="s">
        <v>816</v>
      </c>
      <c r="L298" s="106">
        <v>45113.197604166664</v>
      </c>
      <c r="M298" s="100">
        <v>107</v>
      </c>
    </row>
    <row r="299" spans="1:13" x14ac:dyDescent="0.3">
      <c r="A299" s="100">
        <v>124</v>
      </c>
      <c r="B299" s="103" t="s">
        <v>596</v>
      </c>
      <c r="C299" s="103" t="s">
        <v>597</v>
      </c>
      <c r="D299" s="99">
        <v>213711</v>
      </c>
      <c r="E299" s="103" t="s">
        <v>707</v>
      </c>
      <c r="F299" s="18">
        <v>31</v>
      </c>
      <c r="G299" s="101">
        <v>213442</v>
      </c>
      <c r="H299" s="100" t="s">
        <v>817</v>
      </c>
      <c r="I299" s="100">
        <v>4</v>
      </c>
      <c r="J299" s="104">
        <v>45113</v>
      </c>
      <c r="K299" s="100" t="s">
        <v>818</v>
      </c>
      <c r="L299" s="106">
        <v>45113.197905092595</v>
      </c>
      <c r="M299" s="100">
        <v>108</v>
      </c>
    </row>
    <row r="300" spans="1:13" x14ac:dyDescent="0.3">
      <c r="A300" s="100">
        <v>125</v>
      </c>
      <c r="B300" s="103" t="s">
        <v>596</v>
      </c>
      <c r="C300" s="103" t="s">
        <v>597</v>
      </c>
      <c r="D300" s="99">
        <v>213711</v>
      </c>
      <c r="E300" s="103" t="s">
        <v>707</v>
      </c>
      <c r="F300" s="18">
        <v>31</v>
      </c>
      <c r="G300" s="101">
        <v>213442</v>
      </c>
      <c r="H300" s="100" t="s">
        <v>819</v>
      </c>
      <c r="I300" s="100">
        <v>2</v>
      </c>
      <c r="J300" s="104">
        <v>45113</v>
      </c>
      <c r="K300" s="100" t="s">
        <v>820</v>
      </c>
      <c r="L300" s="106">
        <v>45113.19835648148</v>
      </c>
      <c r="M300" s="100">
        <v>109</v>
      </c>
    </row>
    <row r="301" spans="1:13" x14ac:dyDescent="0.3">
      <c r="A301" s="100">
        <v>126</v>
      </c>
      <c r="B301" s="103" t="s">
        <v>596</v>
      </c>
      <c r="C301" s="103" t="s">
        <v>597</v>
      </c>
      <c r="D301" s="99">
        <v>213711</v>
      </c>
      <c r="E301" s="103" t="s">
        <v>707</v>
      </c>
      <c r="F301" s="18">
        <v>31</v>
      </c>
      <c r="G301" s="101">
        <v>213442</v>
      </c>
      <c r="H301" s="100" t="s">
        <v>821</v>
      </c>
      <c r="I301" s="100">
        <v>1</v>
      </c>
      <c r="J301" s="104">
        <v>45113</v>
      </c>
      <c r="K301" s="100" t="s">
        <v>822</v>
      </c>
      <c r="L301" s="106">
        <v>45113.198842592596</v>
      </c>
      <c r="M301" s="100">
        <v>110</v>
      </c>
    </row>
    <row r="302" spans="1:13" x14ac:dyDescent="0.3">
      <c r="A302" s="100">
        <v>127</v>
      </c>
      <c r="B302" s="103" t="s">
        <v>596</v>
      </c>
      <c r="C302" s="103" t="s">
        <v>597</v>
      </c>
      <c r="D302" s="99">
        <v>213711</v>
      </c>
      <c r="E302" s="103" t="s">
        <v>707</v>
      </c>
      <c r="F302" s="18">
        <v>31</v>
      </c>
      <c r="G302" s="101">
        <v>213442</v>
      </c>
      <c r="H302" s="100" t="s">
        <v>823</v>
      </c>
      <c r="I302" s="100">
        <v>1</v>
      </c>
      <c r="J302" s="104">
        <v>45113</v>
      </c>
      <c r="K302" s="100" t="s">
        <v>824</v>
      </c>
      <c r="L302" s="106">
        <v>45113.198865740742</v>
      </c>
      <c r="M302" s="100">
        <v>111</v>
      </c>
    </row>
    <row r="303" spans="1:13" x14ac:dyDescent="0.3">
      <c r="A303" s="100">
        <v>128</v>
      </c>
      <c r="B303" s="103" t="s">
        <v>596</v>
      </c>
      <c r="C303" s="103" t="s">
        <v>597</v>
      </c>
      <c r="D303" s="99">
        <v>213711</v>
      </c>
      <c r="E303" s="103" t="s">
        <v>707</v>
      </c>
      <c r="F303" s="18">
        <v>31</v>
      </c>
      <c r="G303" s="101">
        <v>213442</v>
      </c>
      <c r="H303" s="100" t="s">
        <v>825</v>
      </c>
      <c r="I303" s="100">
        <v>1</v>
      </c>
      <c r="J303" s="104">
        <v>45113</v>
      </c>
      <c r="K303" s="100" t="s">
        <v>826</v>
      </c>
      <c r="L303" s="106">
        <v>45113.199004629627</v>
      </c>
      <c r="M303" s="100">
        <v>112</v>
      </c>
    </row>
    <row r="304" spans="1:13" x14ac:dyDescent="0.3">
      <c r="A304" s="100">
        <v>129</v>
      </c>
      <c r="B304" s="103" t="s">
        <v>596</v>
      </c>
      <c r="C304" s="103" t="s">
        <v>597</v>
      </c>
      <c r="D304" s="99">
        <v>213711</v>
      </c>
      <c r="E304" s="103" t="s">
        <v>707</v>
      </c>
      <c r="F304" s="18">
        <v>31</v>
      </c>
      <c r="G304" s="101">
        <v>213442</v>
      </c>
      <c r="H304" s="100" t="s">
        <v>827</v>
      </c>
      <c r="I304" s="100">
        <v>1</v>
      </c>
      <c r="J304" s="104">
        <v>45113</v>
      </c>
      <c r="K304" s="100" t="s">
        <v>828</v>
      </c>
      <c r="L304" s="106">
        <v>45113.199178240742</v>
      </c>
      <c r="M304" s="100">
        <v>113</v>
      </c>
    </row>
    <row r="305" spans="1:13" x14ac:dyDescent="0.3">
      <c r="A305" s="100">
        <v>130</v>
      </c>
      <c r="B305" s="103" t="s">
        <v>596</v>
      </c>
      <c r="C305" s="103" t="s">
        <v>597</v>
      </c>
      <c r="D305" s="99">
        <v>213711</v>
      </c>
      <c r="E305" s="103" t="s">
        <v>707</v>
      </c>
      <c r="F305" s="18">
        <v>31</v>
      </c>
      <c r="G305" s="101">
        <v>213442</v>
      </c>
      <c r="H305" s="100" t="s">
        <v>829</v>
      </c>
      <c r="I305" s="100">
        <v>1</v>
      </c>
      <c r="J305" s="104">
        <v>45113</v>
      </c>
      <c r="K305" s="100" t="s">
        <v>830</v>
      </c>
      <c r="L305" s="106">
        <v>45113.199201388888</v>
      </c>
      <c r="M305" s="100">
        <v>114</v>
      </c>
    </row>
    <row r="306" spans="1:13" x14ac:dyDescent="0.3">
      <c r="A306" s="100">
        <v>131</v>
      </c>
      <c r="B306" s="103" t="s">
        <v>596</v>
      </c>
      <c r="C306" s="103" t="s">
        <v>597</v>
      </c>
      <c r="D306" s="99">
        <v>213711</v>
      </c>
      <c r="E306" s="103" t="s">
        <v>707</v>
      </c>
      <c r="F306" s="18">
        <v>31</v>
      </c>
      <c r="G306" s="101">
        <v>213442</v>
      </c>
      <c r="H306" s="100" t="s">
        <v>831</v>
      </c>
      <c r="I306" s="100">
        <v>3</v>
      </c>
      <c r="J306" s="104">
        <v>45113</v>
      </c>
      <c r="K306" s="100" t="s">
        <v>832</v>
      </c>
      <c r="L306" s="106">
        <v>45113.199490740742</v>
      </c>
      <c r="M306" s="100">
        <v>115</v>
      </c>
    </row>
    <row r="307" spans="1:13" x14ac:dyDescent="0.3">
      <c r="A307" s="100">
        <v>132</v>
      </c>
      <c r="B307" s="103" t="s">
        <v>596</v>
      </c>
      <c r="C307" s="103" t="s">
        <v>597</v>
      </c>
      <c r="D307" s="99">
        <v>213711</v>
      </c>
      <c r="E307" s="103" t="s">
        <v>707</v>
      </c>
      <c r="F307" s="18">
        <v>31</v>
      </c>
      <c r="G307" s="101">
        <v>213442</v>
      </c>
      <c r="H307" s="100" t="s">
        <v>833</v>
      </c>
      <c r="I307" s="100">
        <v>1</v>
      </c>
      <c r="J307" s="104">
        <v>45113</v>
      </c>
      <c r="K307" s="100" t="s">
        <v>834</v>
      </c>
      <c r="L307" s="106">
        <v>45113.200671296298</v>
      </c>
      <c r="M307" s="100">
        <v>116</v>
      </c>
    </row>
    <row r="308" spans="1:13" x14ac:dyDescent="0.3">
      <c r="A308" s="100">
        <v>133</v>
      </c>
      <c r="B308" s="103" t="s">
        <v>596</v>
      </c>
      <c r="C308" s="103" t="s">
        <v>597</v>
      </c>
      <c r="D308" s="99">
        <v>213711</v>
      </c>
      <c r="E308" s="103" t="s">
        <v>707</v>
      </c>
      <c r="F308" s="18">
        <v>31</v>
      </c>
      <c r="G308" s="101">
        <v>213442</v>
      </c>
      <c r="H308" s="100" t="s">
        <v>835</v>
      </c>
      <c r="I308" s="100">
        <v>3</v>
      </c>
      <c r="J308" s="104">
        <v>45113</v>
      </c>
      <c r="K308" s="100" t="s">
        <v>836</v>
      </c>
      <c r="L308" s="106">
        <v>45113.200844907406</v>
      </c>
      <c r="M308" s="100">
        <v>117</v>
      </c>
    </row>
    <row r="309" spans="1:13" x14ac:dyDescent="0.3">
      <c r="A309" s="100">
        <v>134</v>
      </c>
      <c r="B309" s="103" t="s">
        <v>596</v>
      </c>
      <c r="C309" s="103" t="s">
        <v>597</v>
      </c>
      <c r="D309" s="99">
        <v>213711</v>
      </c>
      <c r="E309" s="103" t="s">
        <v>837</v>
      </c>
      <c r="F309" s="18">
        <v>21</v>
      </c>
      <c r="G309" s="101">
        <v>213097</v>
      </c>
      <c r="H309" s="100" t="s">
        <v>838</v>
      </c>
      <c r="I309" s="100">
        <v>0</v>
      </c>
      <c r="J309" s="104">
        <v>45113</v>
      </c>
      <c r="K309" s="100" t="s">
        <v>839</v>
      </c>
      <c r="L309" s="106">
        <v>45113.201701388891</v>
      </c>
      <c r="M309" s="100">
        <v>118</v>
      </c>
    </row>
    <row r="310" spans="1:13" x14ac:dyDescent="0.3">
      <c r="A310" s="100">
        <v>135</v>
      </c>
      <c r="B310" s="103" t="s">
        <v>596</v>
      </c>
      <c r="C310" s="103" t="s">
        <v>597</v>
      </c>
      <c r="D310" s="99">
        <v>213711</v>
      </c>
      <c r="E310" s="103" t="s">
        <v>837</v>
      </c>
      <c r="F310" s="18">
        <v>21</v>
      </c>
      <c r="G310" s="101">
        <v>213097</v>
      </c>
      <c r="H310" s="100" t="s">
        <v>840</v>
      </c>
      <c r="I310" s="100">
        <v>1</v>
      </c>
      <c r="J310" s="104">
        <v>45113</v>
      </c>
      <c r="K310" s="100" t="s">
        <v>841</v>
      </c>
      <c r="L310" s="106">
        <v>45113.20171296296</v>
      </c>
      <c r="M310" s="100">
        <v>119</v>
      </c>
    </row>
    <row r="311" spans="1:13" x14ac:dyDescent="0.3">
      <c r="A311" s="100">
        <v>136</v>
      </c>
      <c r="B311" s="103" t="s">
        <v>596</v>
      </c>
      <c r="C311" s="103" t="s">
        <v>597</v>
      </c>
      <c r="D311" s="99">
        <v>213711</v>
      </c>
      <c r="E311" s="103" t="s">
        <v>837</v>
      </c>
      <c r="F311" s="18">
        <v>21</v>
      </c>
      <c r="G311" s="101">
        <v>213097</v>
      </c>
      <c r="H311" s="100" t="s">
        <v>842</v>
      </c>
      <c r="I311" s="100">
        <v>1</v>
      </c>
      <c r="J311" s="104">
        <v>45113</v>
      </c>
      <c r="K311" s="100" t="s">
        <v>843</v>
      </c>
      <c r="L311" s="106">
        <v>45113.201898148145</v>
      </c>
      <c r="M311" s="100">
        <v>120</v>
      </c>
    </row>
    <row r="312" spans="1:13" x14ac:dyDescent="0.3">
      <c r="A312" s="100">
        <v>137</v>
      </c>
      <c r="B312" s="103" t="s">
        <v>596</v>
      </c>
      <c r="C312" s="103" t="s">
        <v>597</v>
      </c>
      <c r="D312" s="99">
        <v>213711</v>
      </c>
      <c r="E312" s="103" t="s">
        <v>837</v>
      </c>
      <c r="F312" s="18">
        <v>21</v>
      </c>
      <c r="G312" s="101">
        <v>213097</v>
      </c>
      <c r="H312" s="100" t="s">
        <v>844</v>
      </c>
      <c r="I312" s="100">
        <v>1</v>
      </c>
      <c r="J312" s="104">
        <v>45113</v>
      </c>
      <c r="K312" s="100" t="s">
        <v>845</v>
      </c>
      <c r="L312" s="106">
        <v>45113.202210648145</v>
      </c>
      <c r="M312" s="100">
        <v>121</v>
      </c>
    </row>
    <row r="313" spans="1:13" x14ac:dyDescent="0.3">
      <c r="A313" s="100">
        <v>138</v>
      </c>
      <c r="B313" s="103" t="s">
        <v>596</v>
      </c>
      <c r="C313" s="103" t="s">
        <v>597</v>
      </c>
      <c r="D313" s="99">
        <v>213711</v>
      </c>
      <c r="E313" s="103" t="s">
        <v>837</v>
      </c>
      <c r="F313" s="18">
        <v>21</v>
      </c>
      <c r="G313" s="101">
        <v>213097</v>
      </c>
      <c r="H313" s="100" t="s">
        <v>846</v>
      </c>
      <c r="I313" s="100">
        <v>2</v>
      </c>
      <c r="J313" s="104">
        <v>45113</v>
      </c>
      <c r="K313" s="100" t="s">
        <v>847</v>
      </c>
      <c r="L313" s="106">
        <v>45113.202222222222</v>
      </c>
      <c r="M313" s="100">
        <v>122</v>
      </c>
    </row>
    <row r="314" spans="1:13" x14ac:dyDescent="0.3">
      <c r="A314" s="100">
        <v>139</v>
      </c>
      <c r="B314" s="103" t="s">
        <v>596</v>
      </c>
      <c r="C314" s="103" t="s">
        <v>597</v>
      </c>
      <c r="D314" s="99">
        <v>213711</v>
      </c>
      <c r="E314" s="103" t="s">
        <v>837</v>
      </c>
      <c r="F314" s="18">
        <v>21</v>
      </c>
      <c r="G314" s="101">
        <v>213097</v>
      </c>
      <c r="H314" s="100" t="s">
        <v>848</v>
      </c>
      <c r="I314" s="100">
        <v>1</v>
      </c>
      <c r="J314" s="104">
        <v>45113</v>
      </c>
      <c r="K314" s="100" t="s">
        <v>849</v>
      </c>
      <c r="L314" s="106">
        <v>45113.202476851853</v>
      </c>
      <c r="M314" s="100">
        <v>123</v>
      </c>
    </row>
    <row r="315" spans="1:13" x14ac:dyDescent="0.3">
      <c r="A315" s="100">
        <v>140</v>
      </c>
      <c r="B315" s="103" t="s">
        <v>596</v>
      </c>
      <c r="C315" s="103" t="s">
        <v>597</v>
      </c>
      <c r="D315" s="99">
        <v>213711</v>
      </c>
      <c r="E315" s="103" t="s">
        <v>837</v>
      </c>
      <c r="F315" s="18">
        <v>21</v>
      </c>
      <c r="G315" s="101">
        <v>213097</v>
      </c>
      <c r="H315" s="100" t="s">
        <v>850</v>
      </c>
      <c r="I315" s="100">
        <v>0</v>
      </c>
      <c r="J315" s="104">
        <v>45113</v>
      </c>
      <c r="K315" s="100" t="s">
        <v>851</v>
      </c>
      <c r="L315" s="106">
        <v>45113.202719907407</v>
      </c>
      <c r="M315" s="100">
        <v>124</v>
      </c>
    </row>
    <row r="316" spans="1:13" x14ac:dyDescent="0.3">
      <c r="A316" s="100">
        <v>141</v>
      </c>
      <c r="B316" s="103" t="s">
        <v>596</v>
      </c>
      <c r="C316" s="103" t="s">
        <v>597</v>
      </c>
      <c r="D316" s="99">
        <v>213711</v>
      </c>
      <c r="E316" s="103" t="s">
        <v>837</v>
      </c>
      <c r="F316" s="18">
        <v>21</v>
      </c>
      <c r="G316" s="101">
        <v>213097</v>
      </c>
      <c r="H316" s="100" t="s">
        <v>852</v>
      </c>
      <c r="I316" s="100">
        <v>0</v>
      </c>
      <c r="J316" s="104">
        <v>45113</v>
      </c>
      <c r="K316" s="100" t="s">
        <v>853</v>
      </c>
      <c r="L316" s="106">
        <v>45113.202743055554</v>
      </c>
      <c r="M316" s="100">
        <v>125</v>
      </c>
    </row>
    <row r="317" spans="1:13" x14ac:dyDescent="0.3">
      <c r="A317" s="100">
        <v>142</v>
      </c>
      <c r="B317" s="103" t="s">
        <v>596</v>
      </c>
      <c r="C317" s="103" t="s">
        <v>597</v>
      </c>
      <c r="D317" s="99">
        <v>213711</v>
      </c>
      <c r="E317" s="103" t="s">
        <v>837</v>
      </c>
      <c r="F317" s="18">
        <v>21</v>
      </c>
      <c r="G317" s="101">
        <v>213097</v>
      </c>
      <c r="H317" s="100" t="s">
        <v>854</v>
      </c>
      <c r="I317" s="100">
        <v>1</v>
      </c>
      <c r="J317" s="104">
        <v>45113</v>
      </c>
      <c r="K317" s="100" t="s">
        <v>855</v>
      </c>
      <c r="L317" s="106">
        <v>45113.203287037039</v>
      </c>
      <c r="M317" s="100">
        <v>126</v>
      </c>
    </row>
    <row r="318" spans="1:13" x14ac:dyDescent="0.3">
      <c r="A318" s="100">
        <v>143</v>
      </c>
      <c r="B318" s="103" t="s">
        <v>596</v>
      </c>
      <c r="C318" s="103" t="s">
        <v>597</v>
      </c>
      <c r="D318" s="99">
        <v>213711</v>
      </c>
      <c r="E318" s="103" t="s">
        <v>837</v>
      </c>
      <c r="F318" s="18">
        <v>21</v>
      </c>
      <c r="G318" s="101">
        <v>213097</v>
      </c>
      <c r="H318" s="100" t="s">
        <v>856</v>
      </c>
      <c r="I318" s="100">
        <v>1</v>
      </c>
      <c r="J318" s="104">
        <v>45113</v>
      </c>
      <c r="K318" s="100" t="s">
        <v>857</v>
      </c>
      <c r="L318" s="106">
        <v>45113.203668981485</v>
      </c>
      <c r="M318" s="100">
        <v>127</v>
      </c>
    </row>
    <row r="319" spans="1:13" x14ac:dyDescent="0.3">
      <c r="A319" s="100">
        <v>144</v>
      </c>
      <c r="B319" s="103" t="s">
        <v>596</v>
      </c>
      <c r="C319" s="103" t="s">
        <v>597</v>
      </c>
      <c r="D319" s="99">
        <v>213711</v>
      </c>
      <c r="E319" s="103" t="s">
        <v>837</v>
      </c>
      <c r="F319" s="109">
        <v>21</v>
      </c>
      <c r="G319" s="110">
        <v>213097</v>
      </c>
      <c r="H319" s="100" t="s">
        <v>858</v>
      </c>
      <c r="I319" s="100">
        <v>2</v>
      </c>
      <c r="J319" s="104">
        <v>45113</v>
      </c>
      <c r="K319" s="100" t="s">
        <v>859</v>
      </c>
      <c r="L319" s="106">
        <v>45113.204108796293</v>
      </c>
      <c r="M319" s="100">
        <v>128</v>
      </c>
    </row>
    <row r="320" spans="1:13" x14ac:dyDescent="0.3">
      <c r="A320" s="100">
        <v>145</v>
      </c>
      <c r="B320" s="103" t="s">
        <v>596</v>
      </c>
      <c r="C320" s="103" t="s">
        <v>597</v>
      </c>
      <c r="D320" s="99">
        <v>213711</v>
      </c>
      <c r="E320" s="103" t="s">
        <v>755</v>
      </c>
      <c r="F320" s="18">
        <v>19</v>
      </c>
      <c r="G320" s="101">
        <v>202451</v>
      </c>
      <c r="H320" s="100" t="s">
        <v>860</v>
      </c>
      <c r="I320" s="100">
        <v>2</v>
      </c>
      <c r="J320" s="104">
        <v>45113</v>
      </c>
      <c r="K320" s="100" t="s">
        <v>861</v>
      </c>
      <c r="L320" s="106">
        <v>45113.204386574071</v>
      </c>
      <c r="M320" s="100">
        <v>129</v>
      </c>
    </row>
    <row r="321" spans="1:13" x14ac:dyDescent="0.3">
      <c r="A321" s="100">
        <v>146</v>
      </c>
      <c r="B321" s="103" t="s">
        <v>596</v>
      </c>
      <c r="C321" s="103" t="s">
        <v>597</v>
      </c>
      <c r="D321" s="99">
        <v>213711</v>
      </c>
      <c r="E321" s="103" t="s">
        <v>755</v>
      </c>
      <c r="F321" s="18">
        <v>19</v>
      </c>
      <c r="G321" s="101">
        <v>202451</v>
      </c>
      <c r="H321" s="100" t="s">
        <v>862</v>
      </c>
      <c r="I321" s="100">
        <v>1</v>
      </c>
      <c r="J321" s="104">
        <v>45113</v>
      </c>
      <c r="K321" s="100" t="s">
        <v>863</v>
      </c>
      <c r="L321" s="106">
        <v>45113.205613425926</v>
      </c>
      <c r="M321" s="100">
        <v>130</v>
      </c>
    </row>
    <row r="322" spans="1:13" x14ac:dyDescent="0.3">
      <c r="A322" s="100">
        <v>147</v>
      </c>
      <c r="B322" s="103" t="s">
        <v>596</v>
      </c>
      <c r="C322" s="103" t="s">
        <v>597</v>
      </c>
      <c r="D322" s="99">
        <v>213711</v>
      </c>
      <c r="E322" s="103" t="s">
        <v>837</v>
      </c>
      <c r="F322" s="18">
        <v>21</v>
      </c>
      <c r="G322" s="101">
        <v>213097</v>
      </c>
      <c r="H322" s="100" t="s">
        <v>864</v>
      </c>
      <c r="I322" s="100">
        <v>1</v>
      </c>
      <c r="J322" s="104">
        <v>45113</v>
      </c>
      <c r="K322" s="100" t="s">
        <v>865</v>
      </c>
      <c r="L322" s="106">
        <v>45113.209189814814</v>
      </c>
      <c r="M322" s="100">
        <v>131</v>
      </c>
    </row>
    <row r="323" spans="1:13" x14ac:dyDescent="0.3">
      <c r="A323" s="100">
        <v>148</v>
      </c>
      <c r="B323" s="103" t="s">
        <v>596</v>
      </c>
      <c r="C323" s="103" t="s">
        <v>597</v>
      </c>
      <c r="D323" s="99">
        <v>213711</v>
      </c>
      <c r="E323" s="103" t="s">
        <v>837</v>
      </c>
      <c r="F323" s="18">
        <v>21</v>
      </c>
      <c r="G323" s="101">
        <v>213097</v>
      </c>
      <c r="H323" s="100" t="s">
        <v>866</v>
      </c>
      <c r="I323" s="100">
        <v>2</v>
      </c>
      <c r="J323" s="104">
        <v>45113</v>
      </c>
      <c r="K323" s="100" t="s">
        <v>867</v>
      </c>
      <c r="L323" s="106">
        <v>45113.209201388891</v>
      </c>
      <c r="M323" s="100">
        <v>132</v>
      </c>
    </row>
    <row r="324" spans="1:13" x14ac:dyDescent="0.3">
      <c r="A324" s="100">
        <v>149</v>
      </c>
      <c r="B324" s="103" t="s">
        <v>596</v>
      </c>
      <c r="C324" s="103" t="s">
        <v>597</v>
      </c>
      <c r="D324" s="99">
        <v>213711</v>
      </c>
      <c r="E324" s="103" t="s">
        <v>707</v>
      </c>
      <c r="F324" s="18">
        <v>31</v>
      </c>
      <c r="G324" s="101">
        <v>213442</v>
      </c>
      <c r="H324" s="100" t="s">
        <v>868</v>
      </c>
      <c r="I324" s="100">
        <v>0</v>
      </c>
      <c r="J324" s="104">
        <v>45113</v>
      </c>
      <c r="K324" s="100" t="s">
        <v>869</v>
      </c>
      <c r="L324" s="106">
        <v>45113.285856481481</v>
      </c>
      <c r="M324" s="100">
        <v>133</v>
      </c>
    </row>
    <row r="325" spans="1:13" x14ac:dyDescent="0.3">
      <c r="A325" s="100">
        <v>150</v>
      </c>
      <c r="B325" s="103" t="s">
        <v>596</v>
      </c>
      <c r="C325" s="103" t="s">
        <v>597</v>
      </c>
      <c r="D325" s="99">
        <v>213711</v>
      </c>
      <c r="E325" s="103" t="s">
        <v>712</v>
      </c>
      <c r="F325" s="18">
        <v>15</v>
      </c>
      <c r="G325" s="101">
        <v>202196</v>
      </c>
      <c r="H325" s="100" t="s">
        <v>870</v>
      </c>
      <c r="I325" s="100">
        <v>2</v>
      </c>
      <c r="J325" s="104">
        <v>45113</v>
      </c>
      <c r="K325" s="100" t="s">
        <v>871</v>
      </c>
      <c r="L325" s="106">
        <v>45113.289641203701</v>
      </c>
      <c r="M325" s="100">
        <v>134</v>
      </c>
    </row>
    <row r="326" spans="1:13" x14ac:dyDescent="0.3">
      <c r="A326" s="100">
        <v>151</v>
      </c>
      <c r="B326" s="103" t="s">
        <v>596</v>
      </c>
      <c r="C326" s="103" t="s">
        <v>597</v>
      </c>
      <c r="D326" s="99">
        <v>213711</v>
      </c>
      <c r="E326" s="103" t="s">
        <v>712</v>
      </c>
      <c r="F326" s="18">
        <v>15</v>
      </c>
      <c r="G326" s="101">
        <v>202196</v>
      </c>
      <c r="H326" s="100" t="s">
        <v>872</v>
      </c>
      <c r="I326" s="100">
        <v>0</v>
      </c>
      <c r="J326" s="104">
        <v>45113</v>
      </c>
      <c r="K326" s="100" t="s">
        <v>873</v>
      </c>
      <c r="L326" s="106">
        <v>45113.29005787037</v>
      </c>
      <c r="M326" s="100">
        <v>135</v>
      </c>
    </row>
    <row r="327" spans="1:13" x14ac:dyDescent="0.3">
      <c r="A327" s="100">
        <v>152</v>
      </c>
      <c r="B327" s="103" t="s">
        <v>596</v>
      </c>
      <c r="C327" s="103" t="s">
        <v>597</v>
      </c>
      <c r="D327" s="99">
        <v>213711</v>
      </c>
      <c r="E327" s="103" t="s">
        <v>712</v>
      </c>
      <c r="F327" s="18">
        <v>15</v>
      </c>
      <c r="G327" s="101">
        <v>202196</v>
      </c>
      <c r="H327" s="100" t="s">
        <v>874</v>
      </c>
      <c r="I327" s="100">
        <v>2</v>
      </c>
      <c r="J327" s="104">
        <v>45113</v>
      </c>
      <c r="K327" s="100" t="s">
        <v>875</v>
      </c>
      <c r="L327" s="106">
        <v>45113.290081018517</v>
      </c>
      <c r="M327" s="100">
        <v>136</v>
      </c>
    </row>
    <row r="328" spans="1:13" x14ac:dyDescent="0.3">
      <c r="A328" s="100">
        <v>153</v>
      </c>
      <c r="B328" s="103" t="s">
        <v>596</v>
      </c>
      <c r="C328" s="103" t="s">
        <v>597</v>
      </c>
      <c r="D328" s="99">
        <v>213711</v>
      </c>
      <c r="E328" s="103" t="s">
        <v>712</v>
      </c>
      <c r="F328" s="18">
        <v>15</v>
      </c>
      <c r="G328" s="101">
        <v>202196</v>
      </c>
      <c r="H328" s="100" t="s">
        <v>876</v>
      </c>
      <c r="I328" s="100">
        <v>2</v>
      </c>
      <c r="J328" s="104">
        <v>45113</v>
      </c>
      <c r="K328" s="100" t="s">
        <v>877</v>
      </c>
      <c r="L328" s="106">
        <v>45113.293622685182</v>
      </c>
      <c r="M328" s="100">
        <v>137</v>
      </c>
    </row>
    <row r="329" spans="1:13" x14ac:dyDescent="0.3">
      <c r="A329" s="100">
        <v>154</v>
      </c>
      <c r="B329" s="103" t="s">
        <v>596</v>
      </c>
      <c r="C329" s="103" t="s">
        <v>597</v>
      </c>
      <c r="D329" s="99">
        <v>213711</v>
      </c>
      <c r="E329" s="103" t="s">
        <v>712</v>
      </c>
      <c r="F329" s="18">
        <v>15</v>
      </c>
      <c r="G329" s="101">
        <v>202196</v>
      </c>
      <c r="H329" s="100" t="s">
        <v>878</v>
      </c>
      <c r="I329" s="100">
        <v>2</v>
      </c>
      <c r="J329" s="104">
        <v>45113</v>
      </c>
      <c r="K329" s="100" t="s">
        <v>879</v>
      </c>
      <c r="L329" s="106">
        <v>45113.397291666668</v>
      </c>
      <c r="M329" s="100">
        <v>138</v>
      </c>
    </row>
    <row r="330" spans="1:13" x14ac:dyDescent="0.3">
      <c r="A330" s="100">
        <v>155</v>
      </c>
      <c r="B330" s="103" t="s">
        <v>596</v>
      </c>
      <c r="C330" s="103" t="s">
        <v>597</v>
      </c>
      <c r="D330" s="99">
        <v>213711</v>
      </c>
      <c r="E330" s="103" t="s">
        <v>712</v>
      </c>
      <c r="F330" s="18">
        <v>15</v>
      </c>
      <c r="G330" s="101">
        <v>202196</v>
      </c>
      <c r="H330" s="100" t="s">
        <v>880</v>
      </c>
      <c r="I330" s="100">
        <v>5</v>
      </c>
      <c r="J330" s="104">
        <v>45113</v>
      </c>
      <c r="K330" s="100" t="s">
        <v>881</v>
      </c>
      <c r="L330" s="106">
        <v>45113.397349537037</v>
      </c>
      <c r="M330" s="100">
        <v>139</v>
      </c>
    </row>
    <row r="331" spans="1:13" x14ac:dyDescent="0.3">
      <c r="A331" s="100">
        <v>156</v>
      </c>
      <c r="B331" s="103" t="s">
        <v>596</v>
      </c>
      <c r="C331" s="103" t="s">
        <v>597</v>
      </c>
      <c r="D331" s="99">
        <v>213711</v>
      </c>
      <c r="E331" s="103" t="s">
        <v>712</v>
      </c>
      <c r="F331" s="18">
        <v>15</v>
      </c>
      <c r="G331" s="101">
        <v>202196</v>
      </c>
      <c r="H331" s="100" t="s">
        <v>882</v>
      </c>
      <c r="I331" s="100">
        <v>1</v>
      </c>
      <c r="J331" s="104">
        <v>45113</v>
      </c>
      <c r="K331" s="100" t="s">
        <v>883</v>
      </c>
      <c r="L331" s="106">
        <v>45113.399062500001</v>
      </c>
      <c r="M331" s="100">
        <v>140</v>
      </c>
    </row>
    <row r="332" spans="1:13" x14ac:dyDescent="0.3">
      <c r="A332" s="100">
        <v>157</v>
      </c>
      <c r="B332" s="103" t="s">
        <v>596</v>
      </c>
      <c r="C332" s="103" t="s">
        <v>597</v>
      </c>
      <c r="D332" s="99">
        <v>213711</v>
      </c>
      <c r="E332" s="103" t="s">
        <v>712</v>
      </c>
      <c r="F332" s="18">
        <v>15</v>
      </c>
      <c r="G332" s="101">
        <v>202196</v>
      </c>
      <c r="H332" s="100" t="s">
        <v>884</v>
      </c>
      <c r="I332" s="100">
        <v>3</v>
      </c>
      <c r="J332" s="104">
        <v>45113</v>
      </c>
      <c r="K332" s="100" t="s">
        <v>885</v>
      </c>
      <c r="L332" s="106">
        <v>45113.400787037041</v>
      </c>
      <c r="M332" s="100">
        <v>141</v>
      </c>
    </row>
    <row r="333" spans="1:13" x14ac:dyDescent="0.3">
      <c r="A333" s="100">
        <v>158</v>
      </c>
      <c r="B333" s="103" t="s">
        <v>596</v>
      </c>
      <c r="C333" s="103" t="s">
        <v>597</v>
      </c>
      <c r="D333" s="99">
        <v>213711</v>
      </c>
      <c r="E333" s="103" t="s">
        <v>598</v>
      </c>
      <c r="F333" s="18">
        <v>11</v>
      </c>
      <c r="G333" s="101">
        <v>202045</v>
      </c>
      <c r="H333" s="100" t="s">
        <v>886</v>
      </c>
      <c r="I333" s="100">
        <v>2</v>
      </c>
      <c r="J333" s="104">
        <v>45113</v>
      </c>
      <c r="K333" s="100" t="s">
        <v>887</v>
      </c>
      <c r="L333" s="106">
        <v>45113.401782407411</v>
      </c>
      <c r="M333" s="100">
        <v>142</v>
      </c>
    </row>
    <row r="334" spans="1:13" x14ac:dyDescent="0.3">
      <c r="A334" s="100">
        <v>159</v>
      </c>
      <c r="B334" s="103" t="s">
        <v>596</v>
      </c>
      <c r="C334" s="103" t="s">
        <v>597</v>
      </c>
      <c r="D334" s="99">
        <v>213711</v>
      </c>
      <c r="E334" s="103" t="s">
        <v>598</v>
      </c>
      <c r="F334" s="18">
        <v>11</v>
      </c>
      <c r="G334" s="101">
        <v>202045</v>
      </c>
      <c r="H334" s="100" t="s">
        <v>888</v>
      </c>
      <c r="I334" s="100">
        <v>0</v>
      </c>
      <c r="J334" s="104">
        <v>45113</v>
      </c>
      <c r="K334" s="100" t="s">
        <v>889</v>
      </c>
      <c r="L334" s="106">
        <v>45113.40420138889</v>
      </c>
      <c r="M334" s="100">
        <v>143</v>
      </c>
    </row>
    <row r="335" spans="1:13" x14ac:dyDescent="0.3">
      <c r="A335" s="100">
        <v>160</v>
      </c>
      <c r="B335" s="103" t="s">
        <v>596</v>
      </c>
      <c r="C335" s="103" t="s">
        <v>597</v>
      </c>
      <c r="D335" s="99">
        <v>213711</v>
      </c>
      <c r="E335" s="103" t="s">
        <v>707</v>
      </c>
      <c r="F335" s="18">
        <v>31</v>
      </c>
      <c r="G335" s="101">
        <v>213442</v>
      </c>
      <c r="H335" s="100" t="s">
        <v>890</v>
      </c>
      <c r="I335" s="100">
        <v>0</v>
      </c>
      <c r="J335" s="104">
        <v>45113</v>
      </c>
      <c r="K335" s="100" t="s">
        <v>891</v>
      </c>
      <c r="L335" s="106">
        <v>45113.409768518519</v>
      </c>
      <c r="M335" s="100">
        <v>144</v>
      </c>
    </row>
    <row r="336" spans="1:13" x14ac:dyDescent="0.3">
      <c r="A336" s="100">
        <v>161</v>
      </c>
      <c r="B336" s="103" t="s">
        <v>596</v>
      </c>
      <c r="C336" s="103" t="s">
        <v>597</v>
      </c>
      <c r="D336" s="99">
        <v>213711</v>
      </c>
      <c r="E336" s="103" t="s">
        <v>712</v>
      </c>
      <c r="F336" s="18">
        <v>15</v>
      </c>
      <c r="G336" s="101">
        <v>202196</v>
      </c>
      <c r="H336" s="100" t="s">
        <v>892</v>
      </c>
      <c r="I336" s="100">
        <v>0</v>
      </c>
      <c r="J336" s="104">
        <v>45113</v>
      </c>
      <c r="K336" s="100" t="s">
        <v>893</v>
      </c>
      <c r="L336" s="106">
        <v>45113.442708333336</v>
      </c>
      <c r="M336" s="100">
        <v>145</v>
      </c>
    </row>
    <row r="337" spans="1:13" x14ac:dyDescent="0.3">
      <c r="A337" s="100">
        <v>162</v>
      </c>
      <c r="B337" s="103" t="s">
        <v>596</v>
      </c>
      <c r="C337" s="103" t="s">
        <v>597</v>
      </c>
      <c r="D337" s="99">
        <v>213711</v>
      </c>
      <c r="E337" s="103" t="s">
        <v>712</v>
      </c>
      <c r="F337" s="18">
        <v>15</v>
      </c>
      <c r="G337" s="101">
        <v>202196</v>
      </c>
      <c r="H337" s="100" t="s">
        <v>894</v>
      </c>
      <c r="I337" s="100">
        <v>3</v>
      </c>
      <c r="J337" s="104">
        <v>45113</v>
      </c>
      <c r="K337" s="100" t="s">
        <v>895</v>
      </c>
      <c r="L337" s="106">
        <v>45113.443692129629</v>
      </c>
      <c r="M337" s="100">
        <v>146</v>
      </c>
    </row>
    <row r="338" spans="1:13" x14ac:dyDescent="0.3">
      <c r="A338" s="100">
        <v>163</v>
      </c>
      <c r="B338" s="103" t="s">
        <v>596</v>
      </c>
      <c r="C338" s="103" t="s">
        <v>597</v>
      </c>
      <c r="D338" s="99">
        <v>213711</v>
      </c>
      <c r="E338" s="103" t="s">
        <v>557</v>
      </c>
      <c r="F338" s="18">
        <v>42</v>
      </c>
      <c r="G338" s="101">
        <v>223292</v>
      </c>
      <c r="H338" s="100" t="s">
        <v>896</v>
      </c>
      <c r="I338" s="100">
        <v>1</v>
      </c>
      <c r="J338" s="104">
        <v>45113</v>
      </c>
      <c r="K338" s="100" t="s">
        <v>897</v>
      </c>
      <c r="L338" s="106">
        <v>45113.4453587963</v>
      </c>
      <c r="M338" s="100">
        <v>147</v>
      </c>
    </row>
    <row r="339" spans="1:13" x14ac:dyDescent="0.3">
      <c r="A339" s="100">
        <v>164</v>
      </c>
      <c r="B339" s="103" t="s">
        <v>596</v>
      </c>
      <c r="C339" s="103" t="s">
        <v>597</v>
      </c>
      <c r="D339" s="99">
        <v>213711</v>
      </c>
      <c r="E339" s="103" t="s">
        <v>557</v>
      </c>
      <c r="F339" s="18">
        <v>42</v>
      </c>
      <c r="G339" s="101">
        <v>223292</v>
      </c>
      <c r="H339" s="100" t="s">
        <v>898</v>
      </c>
      <c r="I339" s="100">
        <v>1</v>
      </c>
      <c r="J339" s="104">
        <v>45113</v>
      </c>
      <c r="K339" s="100" t="s">
        <v>899</v>
      </c>
      <c r="L339" s="106">
        <v>45113.445381944446</v>
      </c>
      <c r="M339" s="100">
        <v>148</v>
      </c>
    </row>
    <row r="340" spans="1:13" x14ac:dyDescent="0.3">
      <c r="A340" s="100">
        <v>165</v>
      </c>
      <c r="B340" s="103" t="s">
        <v>596</v>
      </c>
      <c r="C340" s="103" t="s">
        <v>597</v>
      </c>
      <c r="D340" s="99">
        <v>213711</v>
      </c>
      <c r="E340" s="103" t="s">
        <v>712</v>
      </c>
      <c r="F340" s="18">
        <v>15</v>
      </c>
      <c r="G340" s="101">
        <v>202196</v>
      </c>
      <c r="H340" s="100" t="s">
        <v>900</v>
      </c>
      <c r="I340" s="100">
        <v>1</v>
      </c>
      <c r="J340" s="104">
        <v>45113</v>
      </c>
      <c r="K340" s="100" t="s">
        <v>901</v>
      </c>
      <c r="L340" s="106">
        <v>45113.446331018517</v>
      </c>
      <c r="M340" s="100">
        <v>149</v>
      </c>
    </row>
    <row r="341" spans="1:13" x14ac:dyDescent="0.3">
      <c r="A341" s="100">
        <v>166</v>
      </c>
      <c r="B341" s="103" t="s">
        <v>596</v>
      </c>
      <c r="C341" s="103" t="s">
        <v>597</v>
      </c>
      <c r="D341" s="99">
        <v>213711</v>
      </c>
      <c r="E341" s="103" t="s">
        <v>902</v>
      </c>
      <c r="F341" s="18">
        <v>7</v>
      </c>
      <c r="G341" s="101">
        <v>192193</v>
      </c>
      <c r="H341" s="100" t="s">
        <v>903</v>
      </c>
      <c r="I341" s="100">
        <v>1</v>
      </c>
      <c r="J341" s="104">
        <v>45113</v>
      </c>
      <c r="K341" s="100" t="s">
        <v>904</v>
      </c>
      <c r="L341" s="106">
        <v>45113.450312499997</v>
      </c>
      <c r="M341" s="100">
        <v>150</v>
      </c>
    </row>
    <row r="342" spans="1:13" x14ac:dyDescent="0.3">
      <c r="A342" s="100">
        <v>167</v>
      </c>
      <c r="B342" s="103" t="s">
        <v>596</v>
      </c>
      <c r="C342" s="103" t="s">
        <v>597</v>
      </c>
      <c r="D342" s="99">
        <v>213711</v>
      </c>
      <c r="E342" s="103" t="s">
        <v>905</v>
      </c>
      <c r="F342" s="18">
        <v>23</v>
      </c>
      <c r="G342" s="101">
        <v>213129</v>
      </c>
      <c r="H342" s="100" t="s">
        <v>906</v>
      </c>
      <c r="I342" s="100">
        <v>3</v>
      </c>
      <c r="J342" s="104">
        <v>45113</v>
      </c>
      <c r="K342" s="100" t="s">
        <v>907</v>
      </c>
      <c r="L342" s="106">
        <v>45113.532719907409</v>
      </c>
      <c r="M342" s="100">
        <v>151</v>
      </c>
    </row>
    <row r="343" spans="1:13" x14ac:dyDescent="0.3">
      <c r="A343" s="100">
        <v>168</v>
      </c>
      <c r="B343" s="103" t="s">
        <v>596</v>
      </c>
      <c r="C343" s="103" t="s">
        <v>597</v>
      </c>
      <c r="D343" s="99">
        <v>213711</v>
      </c>
      <c r="E343" s="103" t="s">
        <v>598</v>
      </c>
      <c r="F343" s="18">
        <v>11</v>
      </c>
      <c r="G343" s="101">
        <v>202045</v>
      </c>
      <c r="H343" s="100" t="s">
        <v>908</v>
      </c>
      <c r="I343" s="100">
        <v>2</v>
      </c>
      <c r="J343" s="104">
        <v>45113</v>
      </c>
      <c r="K343" s="100" t="s">
        <v>909</v>
      </c>
      <c r="L343" s="106">
        <v>45113.568935185183</v>
      </c>
      <c r="M343" s="100">
        <v>152</v>
      </c>
    </row>
    <row r="344" spans="1:13" x14ac:dyDescent="0.3">
      <c r="A344" s="100">
        <v>169</v>
      </c>
      <c r="B344" s="103" t="s">
        <v>596</v>
      </c>
      <c r="C344" s="103" t="s">
        <v>597</v>
      </c>
      <c r="D344" s="99">
        <v>213711</v>
      </c>
      <c r="E344" s="103" t="s">
        <v>712</v>
      </c>
      <c r="F344" s="18">
        <v>15</v>
      </c>
      <c r="G344" s="101">
        <v>202196</v>
      </c>
      <c r="H344" s="100" t="s">
        <v>910</v>
      </c>
      <c r="I344" s="100">
        <v>3</v>
      </c>
      <c r="J344" s="104">
        <v>45113</v>
      </c>
      <c r="K344" s="100" t="s">
        <v>911</v>
      </c>
      <c r="L344" s="106">
        <v>45113.570335648146</v>
      </c>
      <c r="M344" s="100">
        <v>153</v>
      </c>
    </row>
    <row r="345" spans="1:13" x14ac:dyDescent="0.3">
      <c r="A345" s="100">
        <v>170</v>
      </c>
      <c r="B345" s="103" t="s">
        <v>596</v>
      </c>
      <c r="C345" s="103" t="s">
        <v>597</v>
      </c>
      <c r="D345" s="99">
        <v>213711</v>
      </c>
      <c r="E345" s="103" t="s">
        <v>712</v>
      </c>
      <c r="F345" s="18">
        <v>15</v>
      </c>
      <c r="G345" s="101">
        <v>202196</v>
      </c>
      <c r="H345" s="100" t="s">
        <v>912</v>
      </c>
      <c r="I345" s="100">
        <v>1</v>
      </c>
      <c r="J345" s="104">
        <v>45113</v>
      </c>
      <c r="K345" s="100" t="s">
        <v>913</v>
      </c>
      <c r="L345" s="106">
        <v>45113.572974537034</v>
      </c>
      <c r="M345" s="100">
        <v>154</v>
      </c>
    </row>
    <row r="346" spans="1:13" x14ac:dyDescent="0.3">
      <c r="A346" s="100">
        <v>171</v>
      </c>
      <c r="B346" s="103" t="s">
        <v>596</v>
      </c>
      <c r="C346" s="103" t="s">
        <v>597</v>
      </c>
      <c r="D346" s="99">
        <v>213711</v>
      </c>
      <c r="E346" s="103" t="s">
        <v>712</v>
      </c>
      <c r="F346" s="18">
        <v>15</v>
      </c>
      <c r="G346" s="101">
        <v>202196</v>
      </c>
      <c r="H346" s="100" t="s">
        <v>914</v>
      </c>
      <c r="I346" s="100">
        <v>1</v>
      </c>
      <c r="J346" s="104">
        <v>45113</v>
      </c>
      <c r="K346" s="100" t="s">
        <v>915</v>
      </c>
      <c r="L346" s="106">
        <v>45113.573009259257</v>
      </c>
      <c r="M346" s="100">
        <v>155</v>
      </c>
    </row>
    <row r="347" spans="1:13" x14ac:dyDescent="0.3">
      <c r="A347" s="100">
        <v>172</v>
      </c>
      <c r="B347" s="103" t="s">
        <v>596</v>
      </c>
      <c r="C347" s="103" t="s">
        <v>597</v>
      </c>
      <c r="D347" s="99">
        <v>213711</v>
      </c>
      <c r="E347" s="103" t="s">
        <v>905</v>
      </c>
      <c r="F347" s="18">
        <v>23</v>
      </c>
      <c r="G347" s="101">
        <v>213129</v>
      </c>
      <c r="H347" s="100" t="s">
        <v>916</v>
      </c>
      <c r="I347" s="100">
        <v>1</v>
      </c>
      <c r="J347" s="104">
        <v>45113</v>
      </c>
      <c r="K347" s="100" t="s">
        <v>917</v>
      </c>
      <c r="L347" s="106">
        <v>45113.577499999999</v>
      </c>
      <c r="M347" s="100">
        <v>156</v>
      </c>
    </row>
    <row r="348" spans="1:13" x14ac:dyDescent="0.3">
      <c r="A348" s="100">
        <v>173</v>
      </c>
      <c r="B348" s="103" t="s">
        <v>596</v>
      </c>
      <c r="C348" s="103" t="s">
        <v>597</v>
      </c>
      <c r="D348" s="99">
        <v>213711</v>
      </c>
      <c r="E348" s="103" t="s">
        <v>905</v>
      </c>
      <c r="F348" s="18">
        <v>23</v>
      </c>
      <c r="G348" s="101">
        <v>213129</v>
      </c>
      <c r="H348" s="100" t="s">
        <v>918</v>
      </c>
      <c r="I348" s="100">
        <v>0</v>
      </c>
      <c r="J348" s="104">
        <v>45113</v>
      </c>
      <c r="K348" s="100" t="s">
        <v>919</v>
      </c>
      <c r="L348" s="106">
        <v>45113.577962962961</v>
      </c>
      <c r="M348" s="100">
        <v>157</v>
      </c>
    </row>
    <row r="349" spans="1:13" x14ac:dyDescent="0.3">
      <c r="A349" s="100">
        <v>174</v>
      </c>
      <c r="B349" s="103" t="s">
        <v>596</v>
      </c>
      <c r="C349" s="103" t="s">
        <v>597</v>
      </c>
      <c r="D349" s="99">
        <v>213711</v>
      </c>
      <c r="E349" s="103" t="s">
        <v>905</v>
      </c>
      <c r="F349" s="18">
        <v>23</v>
      </c>
      <c r="G349" s="101">
        <v>213129</v>
      </c>
      <c r="H349" s="100" t="s">
        <v>920</v>
      </c>
      <c r="I349" s="100">
        <v>2</v>
      </c>
      <c r="J349" s="104">
        <v>45113</v>
      </c>
      <c r="K349" s="100" t="s">
        <v>921</v>
      </c>
      <c r="L349" s="106">
        <v>45113.577974537038</v>
      </c>
      <c r="M349" s="100">
        <v>158</v>
      </c>
    </row>
    <row r="350" spans="1:13" x14ac:dyDescent="0.3">
      <c r="A350" s="100">
        <v>175</v>
      </c>
      <c r="B350" s="103" t="s">
        <v>596</v>
      </c>
      <c r="C350" s="103" t="s">
        <v>597</v>
      </c>
      <c r="D350" s="99">
        <v>213711</v>
      </c>
      <c r="E350" s="103" t="s">
        <v>905</v>
      </c>
      <c r="F350" s="18">
        <v>23</v>
      </c>
      <c r="G350" s="101">
        <v>213129</v>
      </c>
      <c r="H350" s="100" t="s">
        <v>922</v>
      </c>
      <c r="I350" s="100">
        <v>2</v>
      </c>
      <c r="J350" s="104">
        <v>45113</v>
      </c>
      <c r="K350" s="100" t="s">
        <v>923</v>
      </c>
      <c r="L350" s="106">
        <v>45113.578564814816</v>
      </c>
      <c r="M350" s="100">
        <v>159</v>
      </c>
    </row>
    <row r="351" spans="1:13" x14ac:dyDescent="0.3">
      <c r="A351" s="100">
        <v>176</v>
      </c>
      <c r="B351" s="103" t="s">
        <v>596</v>
      </c>
      <c r="C351" s="103" t="s">
        <v>597</v>
      </c>
      <c r="D351" s="99">
        <v>213711</v>
      </c>
      <c r="E351" s="103" t="s">
        <v>598</v>
      </c>
      <c r="F351" s="18">
        <v>11</v>
      </c>
      <c r="G351" s="101">
        <v>202045</v>
      </c>
      <c r="H351" s="100" t="s">
        <v>924</v>
      </c>
      <c r="I351" s="100">
        <v>1</v>
      </c>
      <c r="J351" s="104">
        <v>45113</v>
      </c>
      <c r="K351" s="100" t="s">
        <v>925</v>
      </c>
      <c r="L351" s="106">
        <v>45113.578842592593</v>
      </c>
      <c r="M351" s="100">
        <v>160</v>
      </c>
    </row>
    <row r="352" spans="1:13" x14ac:dyDescent="0.3">
      <c r="A352" s="100">
        <v>177</v>
      </c>
      <c r="B352" s="103" t="s">
        <v>596</v>
      </c>
      <c r="C352" s="103" t="s">
        <v>597</v>
      </c>
      <c r="D352" s="99">
        <v>213711</v>
      </c>
      <c r="E352" s="103" t="s">
        <v>902</v>
      </c>
      <c r="F352" s="18">
        <v>7</v>
      </c>
      <c r="G352" s="101">
        <v>192193</v>
      </c>
      <c r="H352" s="100" t="s">
        <v>926</v>
      </c>
      <c r="I352" s="100">
        <v>1</v>
      </c>
      <c r="J352" s="104">
        <v>45113</v>
      </c>
      <c r="K352" s="100" t="s">
        <v>927</v>
      </c>
      <c r="L352" s="106">
        <v>45113.659039351849</v>
      </c>
      <c r="M352" s="100">
        <v>161</v>
      </c>
    </row>
    <row r="353" spans="1:13" x14ac:dyDescent="0.3">
      <c r="A353" s="100">
        <v>178</v>
      </c>
      <c r="B353" s="103" t="s">
        <v>596</v>
      </c>
      <c r="C353" s="103" t="s">
        <v>597</v>
      </c>
      <c r="D353" s="99">
        <v>213711</v>
      </c>
      <c r="E353" s="103" t="s">
        <v>902</v>
      </c>
      <c r="F353" s="18">
        <v>7</v>
      </c>
      <c r="G353" s="101">
        <v>192193</v>
      </c>
      <c r="H353" s="100" t="s">
        <v>928</v>
      </c>
      <c r="I353" s="100">
        <v>2</v>
      </c>
      <c r="J353" s="104">
        <v>45113</v>
      </c>
      <c r="K353" s="100" t="s">
        <v>929</v>
      </c>
      <c r="L353" s="106">
        <v>45113.659537037034</v>
      </c>
      <c r="M353" s="100">
        <v>162</v>
      </c>
    </row>
    <row r="354" spans="1:13" x14ac:dyDescent="0.3">
      <c r="A354" s="100">
        <v>179</v>
      </c>
      <c r="B354" s="103" t="s">
        <v>596</v>
      </c>
      <c r="C354" s="103" t="s">
        <v>597</v>
      </c>
      <c r="D354" s="99">
        <v>213711</v>
      </c>
      <c r="E354" s="103" t="s">
        <v>905</v>
      </c>
      <c r="F354" s="18">
        <v>23</v>
      </c>
      <c r="G354" s="101">
        <v>213129</v>
      </c>
      <c r="H354" s="100" t="s">
        <v>930</v>
      </c>
      <c r="I354" s="100">
        <v>1</v>
      </c>
      <c r="J354" s="104">
        <v>45113</v>
      </c>
      <c r="K354" s="100" t="s">
        <v>931</v>
      </c>
      <c r="L354" s="106">
        <v>45113.663078703707</v>
      </c>
      <c r="M354" s="100">
        <v>163</v>
      </c>
    </row>
    <row r="355" spans="1:13" x14ac:dyDescent="0.3">
      <c r="A355" s="100">
        <v>180</v>
      </c>
      <c r="B355" s="103" t="s">
        <v>596</v>
      </c>
      <c r="C355" s="103" t="s">
        <v>597</v>
      </c>
      <c r="D355" s="99">
        <v>213711</v>
      </c>
      <c r="E355" s="103" t="s">
        <v>902</v>
      </c>
      <c r="F355" s="18">
        <v>7</v>
      </c>
      <c r="G355" s="101">
        <v>192193</v>
      </c>
      <c r="H355" s="100" t="s">
        <v>932</v>
      </c>
      <c r="I355" s="100">
        <v>2</v>
      </c>
      <c r="J355" s="104">
        <v>45113</v>
      </c>
      <c r="K355" s="100" t="s">
        <v>933</v>
      </c>
      <c r="L355" s="106">
        <v>45113.66369212963</v>
      </c>
      <c r="M355" s="100">
        <v>164</v>
      </c>
    </row>
    <row r="356" spans="1:13" x14ac:dyDescent="0.3">
      <c r="A356" s="100">
        <v>181</v>
      </c>
      <c r="B356" s="103" t="s">
        <v>596</v>
      </c>
      <c r="C356" s="103" t="s">
        <v>597</v>
      </c>
      <c r="D356" s="99">
        <v>213711</v>
      </c>
      <c r="E356" s="103" t="s">
        <v>934</v>
      </c>
      <c r="F356" s="18">
        <v>16</v>
      </c>
      <c r="G356" s="101">
        <v>202242</v>
      </c>
      <c r="H356" s="100" t="s">
        <v>935</v>
      </c>
      <c r="I356" s="100">
        <v>1</v>
      </c>
      <c r="J356" s="104">
        <v>45113</v>
      </c>
      <c r="K356" s="100" t="s">
        <v>936</v>
      </c>
      <c r="L356" s="106">
        <v>45113.682060185187</v>
      </c>
      <c r="M356" s="100">
        <v>165</v>
      </c>
    </row>
    <row r="357" spans="1:13" x14ac:dyDescent="0.3">
      <c r="A357" s="100">
        <v>182</v>
      </c>
      <c r="B357" s="103" t="s">
        <v>596</v>
      </c>
      <c r="C357" s="103" t="s">
        <v>597</v>
      </c>
      <c r="D357" s="99">
        <v>213711</v>
      </c>
      <c r="E357" s="103" t="s">
        <v>934</v>
      </c>
      <c r="F357" s="18">
        <v>16</v>
      </c>
      <c r="G357" s="101">
        <v>202242</v>
      </c>
      <c r="H357" s="100" t="s">
        <v>937</v>
      </c>
      <c r="I357" s="100">
        <v>1</v>
      </c>
      <c r="J357" s="104">
        <v>45113</v>
      </c>
      <c r="K357" s="100" t="s">
        <v>938</v>
      </c>
      <c r="L357" s="106">
        <v>45113.682314814818</v>
      </c>
      <c r="M357" s="100">
        <v>166</v>
      </c>
    </row>
    <row r="358" spans="1:13" x14ac:dyDescent="0.3">
      <c r="A358" s="100">
        <v>183</v>
      </c>
      <c r="B358" s="103" t="s">
        <v>596</v>
      </c>
      <c r="C358" s="103" t="s">
        <v>597</v>
      </c>
      <c r="D358" s="99">
        <v>213711</v>
      </c>
      <c r="E358" s="103" t="s">
        <v>902</v>
      </c>
      <c r="F358" s="18">
        <v>7</v>
      </c>
      <c r="G358" s="101">
        <v>192193</v>
      </c>
      <c r="H358" s="100" t="s">
        <v>939</v>
      </c>
      <c r="I358" s="100">
        <v>3</v>
      </c>
      <c r="J358" s="104">
        <v>45113</v>
      </c>
      <c r="K358" s="100" t="s">
        <v>940</v>
      </c>
      <c r="L358" s="106">
        <v>45113.683148148149</v>
      </c>
      <c r="M358" s="100">
        <v>167</v>
      </c>
    </row>
    <row r="359" spans="1:13" x14ac:dyDescent="0.3">
      <c r="A359" s="100">
        <v>184</v>
      </c>
      <c r="B359" s="103" t="s">
        <v>596</v>
      </c>
      <c r="C359" s="103" t="s">
        <v>597</v>
      </c>
      <c r="D359" s="99">
        <v>213711</v>
      </c>
      <c r="E359" s="103" t="s">
        <v>902</v>
      </c>
      <c r="F359" s="18">
        <v>7</v>
      </c>
      <c r="G359" s="101">
        <v>192193</v>
      </c>
      <c r="H359" s="100" t="s">
        <v>941</v>
      </c>
      <c r="I359" s="100">
        <v>2</v>
      </c>
      <c r="J359" s="104">
        <v>45113</v>
      </c>
      <c r="K359" s="100" t="s">
        <v>942</v>
      </c>
      <c r="L359" s="106">
        <v>45113.68378472222</v>
      </c>
      <c r="M359" s="100">
        <v>168</v>
      </c>
    </row>
    <row r="360" spans="1:13" x14ac:dyDescent="0.3">
      <c r="A360" s="100">
        <v>185</v>
      </c>
      <c r="B360" s="103" t="s">
        <v>596</v>
      </c>
      <c r="C360" s="103" t="s">
        <v>597</v>
      </c>
      <c r="D360" s="99">
        <v>213711</v>
      </c>
      <c r="E360" s="103" t="s">
        <v>598</v>
      </c>
      <c r="F360" s="18">
        <v>11</v>
      </c>
      <c r="G360" s="101">
        <v>202045</v>
      </c>
      <c r="H360" s="100" t="s">
        <v>943</v>
      </c>
      <c r="I360" s="100">
        <v>1</v>
      </c>
      <c r="J360" s="104">
        <v>45113</v>
      </c>
      <c r="K360" s="100" t="s">
        <v>944</v>
      </c>
      <c r="L360" s="106">
        <v>45113.684918981482</v>
      </c>
      <c r="M360" s="100">
        <v>169</v>
      </c>
    </row>
    <row r="361" spans="1:13" x14ac:dyDescent="0.3">
      <c r="A361" s="100">
        <v>186</v>
      </c>
      <c r="B361" s="103" t="s">
        <v>596</v>
      </c>
      <c r="C361" s="103" t="s">
        <v>597</v>
      </c>
      <c r="D361" s="99">
        <v>213711</v>
      </c>
      <c r="E361" s="103" t="s">
        <v>905</v>
      </c>
      <c r="F361" s="18">
        <v>23</v>
      </c>
      <c r="G361" s="101">
        <v>213129</v>
      </c>
      <c r="H361" s="100" t="s">
        <v>945</v>
      </c>
      <c r="I361" s="100">
        <v>2</v>
      </c>
      <c r="J361" s="104">
        <v>45113</v>
      </c>
      <c r="K361" s="100" t="s">
        <v>946</v>
      </c>
      <c r="L361" s="106">
        <v>45113.686064814814</v>
      </c>
      <c r="M361" s="100">
        <v>170</v>
      </c>
    </row>
    <row r="362" spans="1:13" x14ac:dyDescent="0.3">
      <c r="A362" s="100">
        <v>187</v>
      </c>
      <c r="B362" s="103" t="s">
        <v>596</v>
      </c>
      <c r="C362" s="103" t="s">
        <v>597</v>
      </c>
      <c r="D362" s="99">
        <v>213711</v>
      </c>
      <c r="E362" s="103" t="s">
        <v>934</v>
      </c>
      <c r="F362" s="18">
        <v>16</v>
      </c>
      <c r="G362" s="101">
        <v>202242</v>
      </c>
      <c r="H362" s="100" t="s">
        <v>947</v>
      </c>
      <c r="I362" s="100">
        <v>3</v>
      </c>
      <c r="J362" s="104">
        <v>45113</v>
      </c>
      <c r="K362" s="100" t="s">
        <v>948</v>
      </c>
      <c r="L362" s="106">
        <v>45113.688935185186</v>
      </c>
      <c r="M362" s="100">
        <v>171</v>
      </c>
    </row>
    <row r="363" spans="1:13" x14ac:dyDescent="0.3">
      <c r="A363" s="100">
        <v>188</v>
      </c>
      <c r="B363" s="103" t="s">
        <v>596</v>
      </c>
      <c r="C363" s="103" t="s">
        <v>597</v>
      </c>
      <c r="D363" s="99">
        <v>213711</v>
      </c>
      <c r="E363" s="103" t="s">
        <v>934</v>
      </c>
      <c r="F363" s="18">
        <v>16</v>
      </c>
      <c r="G363" s="101">
        <v>202242</v>
      </c>
      <c r="H363" s="100" t="s">
        <v>949</v>
      </c>
      <c r="I363" s="100">
        <v>1</v>
      </c>
      <c r="J363" s="104">
        <v>45113</v>
      </c>
      <c r="K363" s="100" t="s">
        <v>950</v>
      </c>
      <c r="L363" s="106">
        <v>45113.689143518517</v>
      </c>
      <c r="M363" s="100">
        <v>172</v>
      </c>
    </row>
    <row r="364" spans="1:13" x14ac:dyDescent="0.3">
      <c r="A364" s="100">
        <v>189</v>
      </c>
      <c r="B364" s="103" t="s">
        <v>596</v>
      </c>
      <c r="C364" s="103" t="s">
        <v>597</v>
      </c>
      <c r="D364" s="99">
        <v>213711</v>
      </c>
      <c r="E364" s="103" t="s">
        <v>934</v>
      </c>
      <c r="F364" s="18">
        <v>16</v>
      </c>
      <c r="G364" s="101">
        <v>202242</v>
      </c>
      <c r="H364" s="100" t="s">
        <v>951</v>
      </c>
      <c r="I364" s="100">
        <v>1</v>
      </c>
      <c r="J364" s="104">
        <v>45113</v>
      </c>
      <c r="K364" s="100" t="s">
        <v>952</v>
      </c>
      <c r="L364" s="106">
        <v>45113.689363425925</v>
      </c>
      <c r="M364" s="100">
        <v>173</v>
      </c>
    </row>
    <row r="365" spans="1:13" x14ac:dyDescent="0.3">
      <c r="A365" s="100">
        <v>190</v>
      </c>
      <c r="B365" s="103" t="s">
        <v>596</v>
      </c>
      <c r="C365" s="103" t="s">
        <v>597</v>
      </c>
      <c r="D365" s="99">
        <v>213711</v>
      </c>
      <c r="E365" s="103" t="s">
        <v>902</v>
      </c>
      <c r="F365" s="18">
        <v>7</v>
      </c>
      <c r="G365" s="101">
        <v>192193</v>
      </c>
      <c r="H365" s="100" t="s">
        <v>953</v>
      </c>
      <c r="I365" s="100">
        <v>1</v>
      </c>
      <c r="J365" s="104">
        <v>45113</v>
      </c>
      <c r="K365" s="100" t="s">
        <v>954</v>
      </c>
      <c r="L365" s="106">
        <v>45113.708668981482</v>
      </c>
      <c r="M365" s="100">
        <v>174</v>
      </c>
    </row>
    <row r="366" spans="1:13" x14ac:dyDescent="0.3">
      <c r="A366" s="100">
        <v>191</v>
      </c>
      <c r="B366" s="103" t="s">
        <v>596</v>
      </c>
      <c r="C366" s="103" t="s">
        <v>597</v>
      </c>
      <c r="D366" s="99">
        <v>213711</v>
      </c>
      <c r="E366" s="103" t="s">
        <v>934</v>
      </c>
      <c r="F366" s="18">
        <v>16</v>
      </c>
      <c r="G366" s="101">
        <v>202242</v>
      </c>
      <c r="H366" s="100" t="s">
        <v>955</v>
      </c>
      <c r="I366" s="100">
        <v>1</v>
      </c>
      <c r="J366" s="104">
        <v>45113</v>
      </c>
      <c r="K366" s="100" t="s">
        <v>956</v>
      </c>
      <c r="L366" s="106">
        <v>45113.709699074076</v>
      </c>
      <c r="M366" s="100">
        <v>175</v>
      </c>
    </row>
    <row r="367" spans="1:13" x14ac:dyDescent="0.3">
      <c r="A367" s="100">
        <v>192</v>
      </c>
      <c r="B367" s="103" t="s">
        <v>596</v>
      </c>
      <c r="C367" s="103" t="s">
        <v>597</v>
      </c>
      <c r="D367" s="99">
        <v>213711</v>
      </c>
      <c r="E367" s="103" t="s">
        <v>934</v>
      </c>
      <c r="F367" s="18">
        <v>16</v>
      </c>
      <c r="G367" s="101">
        <v>202242</v>
      </c>
      <c r="H367" s="100" t="s">
        <v>957</v>
      </c>
      <c r="I367" s="100">
        <v>2</v>
      </c>
      <c r="J367" s="104">
        <v>45113</v>
      </c>
      <c r="K367" s="100" t="s">
        <v>958</v>
      </c>
      <c r="L367" s="106">
        <v>45113.837546296294</v>
      </c>
      <c r="M367" s="100">
        <v>176</v>
      </c>
    </row>
    <row r="368" spans="1:13" x14ac:dyDescent="0.3">
      <c r="A368" s="100">
        <v>193</v>
      </c>
      <c r="B368" s="103" t="s">
        <v>596</v>
      </c>
      <c r="C368" s="103" t="s">
        <v>597</v>
      </c>
      <c r="D368" s="99">
        <v>213711</v>
      </c>
      <c r="E368" s="103" t="s">
        <v>905</v>
      </c>
      <c r="F368" s="18">
        <v>23</v>
      </c>
      <c r="G368" s="101">
        <v>213129</v>
      </c>
      <c r="H368" s="100" t="s">
        <v>959</v>
      </c>
      <c r="I368" s="100">
        <v>1</v>
      </c>
      <c r="J368" s="104">
        <v>45113</v>
      </c>
      <c r="K368" s="100" t="s">
        <v>960</v>
      </c>
      <c r="L368" s="106">
        <v>45113.846747685187</v>
      </c>
      <c r="M368" s="100">
        <v>177</v>
      </c>
    </row>
    <row r="369" spans="1:13" x14ac:dyDescent="0.3">
      <c r="A369" s="100">
        <v>194</v>
      </c>
      <c r="B369" s="103" t="s">
        <v>596</v>
      </c>
      <c r="C369" s="103" t="s">
        <v>597</v>
      </c>
      <c r="D369" s="99">
        <v>213711</v>
      </c>
      <c r="E369" s="103" t="s">
        <v>905</v>
      </c>
      <c r="F369" s="18">
        <v>23</v>
      </c>
      <c r="G369" s="101">
        <v>213129</v>
      </c>
      <c r="H369" s="100" t="s">
        <v>961</v>
      </c>
      <c r="I369" s="100">
        <v>0</v>
      </c>
      <c r="J369" s="104">
        <v>45113</v>
      </c>
      <c r="K369" s="100" t="s">
        <v>962</v>
      </c>
      <c r="L369" s="106">
        <v>45113.847037037034</v>
      </c>
      <c r="M369" s="100">
        <v>178</v>
      </c>
    </row>
    <row r="370" spans="1:13" x14ac:dyDescent="0.3">
      <c r="A370" s="100">
        <v>195</v>
      </c>
      <c r="B370" s="103" t="s">
        <v>596</v>
      </c>
      <c r="C370" s="103" t="s">
        <v>597</v>
      </c>
      <c r="D370" s="99">
        <v>213711</v>
      </c>
      <c r="E370" s="103" t="s">
        <v>905</v>
      </c>
      <c r="F370" s="18">
        <v>23</v>
      </c>
      <c r="G370" s="101">
        <v>213129</v>
      </c>
      <c r="H370" s="100" t="s">
        <v>963</v>
      </c>
      <c r="I370" s="100">
        <v>1</v>
      </c>
      <c r="J370" s="104">
        <v>45113</v>
      </c>
      <c r="K370" s="100" t="s">
        <v>964</v>
      </c>
      <c r="L370" s="106">
        <v>45113.848749999997</v>
      </c>
      <c r="M370" s="100">
        <v>179</v>
      </c>
    </row>
    <row r="371" spans="1:13" x14ac:dyDescent="0.3">
      <c r="A371" s="100">
        <v>196</v>
      </c>
      <c r="B371" s="103" t="s">
        <v>596</v>
      </c>
      <c r="C371" s="103" t="s">
        <v>597</v>
      </c>
      <c r="D371" s="99">
        <v>213711</v>
      </c>
      <c r="E371" s="103" t="s">
        <v>905</v>
      </c>
      <c r="F371" s="18">
        <v>23</v>
      </c>
      <c r="G371" s="101">
        <v>213129</v>
      </c>
      <c r="H371" s="100" t="s">
        <v>965</v>
      </c>
      <c r="I371" s="100">
        <v>2</v>
      </c>
      <c r="J371" s="104">
        <v>45113</v>
      </c>
      <c r="K371" s="100" t="s">
        <v>966</v>
      </c>
      <c r="L371" s="106">
        <v>45113.849965277775</v>
      </c>
      <c r="M371" s="100">
        <v>180</v>
      </c>
    </row>
    <row r="372" spans="1:13" x14ac:dyDescent="0.3">
      <c r="A372" s="100">
        <v>197</v>
      </c>
      <c r="B372" s="103" t="s">
        <v>596</v>
      </c>
      <c r="C372" s="103" t="s">
        <v>597</v>
      </c>
      <c r="D372" s="99">
        <v>213711</v>
      </c>
      <c r="E372" s="103" t="s">
        <v>905</v>
      </c>
      <c r="F372" s="18">
        <v>23</v>
      </c>
      <c r="G372" s="101">
        <v>213129</v>
      </c>
      <c r="H372" s="100" t="s">
        <v>967</v>
      </c>
      <c r="I372" s="100">
        <v>1</v>
      </c>
      <c r="J372" s="104">
        <v>45113</v>
      </c>
      <c r="K372" s="100" t="s">
        <v>968</v>
      </c>
      <c r="L372" s="106">
        <v>45113.849988425929</v>
      </c>
      <c r="M372" s="100">
        <v>181</v>
      </c>
    </row>
    <row r="373" spans="1:13" x14ac:dyDescent="0.3">
      <c r="A373" s="100">
        <v>198</v>
      </c>
      <c r="B373" s="103" t="s">
        <v>596</v>
      </c>
      <c r="C373" s="103" t="s">
        <v>597</v>
      </c>
      <c r="D373" s="99">
        <v>213711</v>
      </c>
      <c r="E373" s="103" t="s">
        <v>905</v>
      </c>
      <c r="F373" s="18">
        <v>23</v>
      </c>
      <c r="G373" s="101">
        <v>213129</v>
      </c>
      <c r="H373" s="100" t="s">
        <v>969</v>
      </c>
      <c r="I373" s="100">
        <v>2</v>
      </c>
      <c r="J373" s="104">
        <v>45113</v>
      </c>
      <c r="K373" s="100" t="s">
        <v>970</v>
      </c>
      <c r="L373" s="106">
        <v>45113.850266203706</v>
      </c>
      <c r="M373" s="100">
        <v>182</v>
      </c>
    </row>
    <row r="374" spans="1:13" x14ac:dyDescent="0.3">
      <c r="A374" s="100">
        <v>199</v>
      </c>
      <c r="B374" s="103" t="s">
        <v>596</v>
      </c>
      <c r="C374" s="103" t="s">
        <v>597</v>
      </c>
      <c r="D374" s="99">
        <v>213711</v>
      </c>
      <c r="E374" s="103" t="s">
        <v>905</v>
      </c>
      <c r="F374" s="18">
        <v>23</v>
      </c>
      <c r="G374" s="101">
        <v>213129</v>
      </c>
      <c r="H374" s="100" t="s">
        <v>971</v>
      </c>
      <c r="I374" s="100">
        <v>1</v>
      </c>
      <c r="J374" s="104">
        <v>45113</v>
      </c>
      <c r="K374" s="100" t="s">
        <v>972</v>
      </c>
      <c r="L374" s="106">
        <v>45113.850428240738</v>
      </c>
      <c r="M374" s="100">
        <v>183</v>
      </c>
    </row>
    <row r="375" spans="1:13" x14ac:dyDescent="0.3">
      <c r="A375" s="100">
        <v>200</v>
      </c>
      <c r="B375" s="103" t="s">
        <v>596</v>
      </c>
      <c r="C375" s="103" t="s">
        <v>597</v>
      </c>
      <c r="D375" s="99">
        <v>213711</v>
      </c>
      <c r="E375" s="103" t="s">
        <v>905</v>
      </c>
      <c r="F375" s="18">
        <v>23</v>
      </c>
      <c r="G375" s="101">
        <v>213129</v>
      </c>
      <c r="H375" s="100" t="s">
        <v>973</v>
      </c>
      <c r="I375" s="100">
        <v>1</v>
      </c>
      <c r="J375" s="104">
        <v>45113</v>
      </c>
      <c r="K375" s="100" t="s">
        <v>974</v>
      </c>
      <c r="L375" s="106">
        <v>45113.850555555553</v>
      </c>
      <c r="M375" s="100">
        <v>184</v>
      </c>
    </row>
    <row r="376" spans="1:13" x14ac:dyDescent="0.3">
      <c r="A376" s="100">
        <v>201</v>
      </c>
      <c r="B376" s="103" t="s">
        <v>596</v>
      </c>
      <c r="C376" s="103" t="s">
        <v>597</v>
      </c>
      <c r="D376" s="99">
        <v>213711</v>
      </c>
      <c r="E376" s="103" t="s">
        <v>905</v>
      </c>
      <c r="F376" s="18">
        <v>23</v>
      </c>
      <c r="G376" s="101">
        <v>213129</v>
      </c>
      <c r="H376" s="100" t="s">
        <v>975</v>
      </c>
      <c r="I376" s="100">
        <v>0</v>
      </c>
      <c r="J376" s="104">
        <v>45113</v>
      </c>
      <c r="K376" s="100" t="s">
        <v>976</v>
      </c>
      <c r="L376" s="106">
        <v>45113.850798611114</v>
      </c>
      <c r="M376" s="100">
        <v>185</v>
      </c>
    </row>
    <row r="377" spans="1:13" x14ac:dyDescent="0.3">
      <c r="A377" s="100">
        <v>202</v>
      </c>
      <c r="B377" s="103" t="s">
        <v>596</v>
      </c>
      <c r="C377" s="103" t="s">
        <v>597</v>
      </c>
      <c r="D377" s="99">
        <v>213711</v>
      </c>
      <c r="E377" s="103" t="s">
        <v>905</v>
      </c>
      <c r="F377" s="18">
        <v>23</v>
      </c>
      <c r="G377" s="101">
        <v>213129</v>
      </c>
      <c r="H377" s="100" t="s">
        <v>977</v>
      </c>
      <c r="I377" s="100">
        <v>2</v>
      </c>
      <c r="J377" s="104">
        <v>45113</v>
      </c>
      <c r="K377" s="100" t="s">
        <v>978</v>
      </c>
      <c r="L377" s="106">
        <v>45113.851168981484</v>
      </c>
      <c r="M377" s="100">
        <v>186</v>
      </c>
    </row>
    <row r="378" spans="1:13" x14ac:dyDescent="0.3">
      <c r="A378" s="100">
        <v>203</v>
      </c>
      <c r="B378" s="103" t="s">
        <v>596</v>
      </c>
      <c r="C378" s="103" t="s">
        <v>597</v>
      </c>
      <c r="D378" s="99">
        <v>213711</v>
      </c>
      <c r="E378" s="103" t="s">
        <v>905</v>
      </c>
      <c r="F378" s="18">
        <v>23</v>
      </c>
      <c r="G378" s="101">
        <v>213129</v>
      </c>
      <c r="H378" s="100" t="s">
        <v>979</v>
      </c>
      <c r="I378" s="100">
        <v>1</v>
      </c>
      <c r="J378" s="104">
        <v>45113</v>
      </c>
      <c r="K378" s="100" t="s">
        <v>980</v>
      </c>
      <c r="L378" s="106">
        <v>45113.851400462961</v>
      </c>
      <c r="M378" s="100">
        <v>187</v>
      </c>
    </row>
    <row r="379" spans="1:13" x14ac:dyDescent="0.3">
      <c r="A379" s="100">
        <v>204</v>
      </c>
      <c r="B379" s="103" t="s">
        <v>596</v>
      </c>
      <c r="C379" s="103" t="s">
        <v>597</v>
      </c>
      <c r="D379" s="99">
        <v>213711</v>
      </c>
      <c r="E379" s="103" t="s">
        <v>905</v>
      </c>
      <c r="F379" s="18">
        <v>23</v>
      </c>
      <c r="G379" s="101">
        <v>213129</v>
      </c>
      <c r="H379" s="100" t="s">
        <v>981</v>
      </c>
      <c r="I379" s="100">
        <v>0</v>
      </c>
      <c r="J379" s="104">
        <v>45113</v>
      </c>
      <c r="K379" s="100" t="s">
        <v>982</v>
      </c>
      <c r="L379" s="106">
        <v>45113.861226851855</v>
      </c>
      <c r="M379" s="100">
        <v>188</v>
      </c>
    </row>
    <row r="380" spans="1:13" x14ac:dyDescent="0.3">
      <c r="A380" s="100">
        <v>205</v>
      </c>
      <c r="B380" s="103" t="s">
        <v>596</v>
      </c>
      <c r="C380" s="103" t="s">
        <v>597</v>
      </c>
      <c r="D380" s="99">
        <v>213711</v>
      </c>
      <c r="E380" s="103" t="s">
        <v>608</v>
      </c>
      <c r="F380" s="18">
        <v>20</v>
      </c>
      <c r="G380" s="101">
        <v>213074</v>
      </c>
      <c r="H380" s="100" t="s">
        <v>983</v>
      </c>
      <c r="I380" s="100">
        <v>1</v>
      </c>
      <c r="J380" s="104">
        <v>45113</v>
      </c>
      <c r="K380" s="100" t="s">
        <v>984</v>
      </c>
      <c r="L380" s="106">
        <v>45113.892812500002</v>
      </c>
      <c r="M380" s="100">
        <v>189</v>
      </c>
    </row>
    <row r="381" spans="1:13" x14ac:dyDescent="0.3">
      <c r="A381" s="100">
        <v>206</v>
      </c>
      <c r="B381" s="103" t="s">
        <v>596</v>
      </c>
      <c r="C381" s="103" t="s">
        <v>597</v>
      </c>
      <c r="D381" s="99">
        <v>213711</v>
      </c>
      <c r="E381" s="103" t="s">
        <v>608</v>
      </c>
      <c r="F381" s="18">
        <v>20</v>
      </c>
      <c r="G381" s="101">
        <v>213074</v>
      </c>
      <c r="H381" s="100" t="s">
        <v>985</v>
      </c>
      <c r="I381" s="100">
        <v>1</v>
      </c>
      <c r="J381" s="104">
        <v>45113</v>
      </c>
      <c r="K381" s="100" t="s">
        <v>986</v>
      </c>
      <c r="L381" s="106">
        <v>45113.89329861111</v>
      </c>
      <c r="M381" s="100">
        <v>190</v>
      </c>
    </row>
    <row r="382" spans="1:13" x14ac:dyDescent="0.3">
      <c r="A382" s="100">
        <v>207</v>
      </c>
      <c r="B382" s="103" t="s">
        <v>596</v>
      </c>
      <c r="C382" s="103" t="s">
        <v>597</v>
      </c>
      <c r="D382" s="99">
        <v>213711</v>
      </c>
      <c r="E382" s="103" t="s">
        <v>608</v>
      </c>
      <c r="F382" s="18">
        <v>20</v>
      </c>
      <c r="G382" s="101">
        <v>213074</v>
      </c>
      <c r="H382" s="100" t="s">
        <v>987</v>
      </c>
      <c r="I382" s="100">
        <v>2</v>
      </c>
      <c r="J382" s="104">
        <v>45113</v>
      </c>
      <c r="K382" s="100" t="s">
        <v>988</v>
      </c>
      <c r="L382" s="106">
        <v>45113.89340277778</v>
      </c>
      <c r="M382" s="100">
        <v>191</v>
      </c>
    </row>
    <row r="383" spans="1:13" x14ac:dyDescent="0.3">
      <c r="A383" s="100">
        <v>208</v>
      </c>
      <c r="B383" s="103" t="s">
        <v>596</v>
      </c>
      <c r="C383" s="103" t="s">
        <v>597</v>
      </c>
      <c r="D383" s="99">
        <v>213711</v>
      </c>
      <c r="E383" s="103" t="s">
        <v>608</v>
      </c>
      <c r="F383" s="18">
        <v>20</v>
      </c>
      <c r="G383" s="101">
        <v>213074</v>
      </c>
      <c r="H383" s="100" t="s">
        <v>989</v>
      </c>
      <c r="I383" s="100">
        <v>1</v>
      </c>
      <c r="J383" s="104">
        <v>45113</v>
      </c>
      <c r="K383" s="100" t="s">
        <v>990</v>
      </c>
      <c r="L383" s="106">
        <v>45113.894155092596</v>
      </c>
      <c r="M383" s="100">
        <v>192</v>
      </c>
    </row>
    <row r="384" spans="1:13" x14ac:dyDescent="0.3">
      <c r="A384" s="100">
        <v>209</v>
      </c>
      <c r="B384" s="103" t="s">
        <v>596</v>
      </c>
      <c r="C384" s="103" t="s">
        <v>597</v>
      </c>
      <c r="D384" s="99">
        <v>213711</v>
      </c>
      <c r="E384" s="103" t="s">
        <v>608</v>
      </c>
      <c r="F384" s="18">
        <v>20</v>
      </c>
      <c r="G384" s="101">
        <v>213074</v>
      </c>
      <c r="H384" s="100" t="s">
        <v>991</v>
      </c>
      <c r="I384" s="100">
        <v>1</v>
      </c>
      <c r="J384" s="104">
        <v>45113</v>
      </c>
      <c r="K384" s="100" t="s">
        <v>992</v>
      </c>
      <c r="L384" s="106">
        <v>45113.894490740742</v>
      </c>
      <c r="M384" s="100">
        <v>193</v>
      </c>
    </row>
    <row r="385" spans="1:13" x14ac:dyDescent="0.3">
      <c r="A385" s="100">
        <v>210</v>
      </c>
      <c r="B385" s="103" t="s">
        <v>596</v>
      </c>
      <c r="C385" s="103" t="s">
        <v>597</v>
      </c>
      <c r="D385" s="99">
        <v>213711</v>
      </c>
      <c r="E385" s="103" t="s">
        <v>934</v>
      </c>
      <c r="F385" s="18">
        <v>16</v>
      </c>
      <c r="G385" s="101">
        <v>202242</v>
      </c>
      <c r="H385" s="100" t="s">
        <v>993</v>
      </c>
      <c r="I385" s="100">
        <v>3</v>
      </c>
      <c r="J385" s="104">
        <v>45113</v>
      </c>
      <c r="K385" s="100" t="s">
        <v>994</v>
      </c>
      <c r="L385" s="106">
        <v>45113.908182870371</v>
      </c>
      <c r="M385" s="100">
        <v>194</v>
      </c>
    </row>
    <row r="386" spans="1:13" x14ac:dyDescent="0.3">
      <c r="A386" s="100">
        <v>211</v>
      </c>
      <c r="B386" s="103" t="s">
        <v>596</v>
      </c>
      <c r="C386" s="103" t="s">
        <v>597</v>
      </c>
      <c r="D386" s="99">
        <v>213711</v>
      </c>
      <c r="E386" s="103" t="s">
        <v>934</v>
      </c>
      <c r="F386" s="18">
        <v>16</v>
      </c>
      <c r="G386" s="101">
        <v>202242</v>
      </c>
      <c r="H386" s="100" t="s">
        <v>995</v>
      </c>
      <c r="I386" s="100">
        <v>0</v>
      </c>
      <c r="J386" s="104">
        <v>45113</v>
      </c>
      <c r="K386" s="100" t="s">
        <v>996</v>
      </c>
      <c r="L386" s="106">
        <v>45113.908368055556</v>
      </c>
      <c r="M386" s="100">
        <v>195</v>
      </c>
    </row>
    <row r="387" spans="1:13" x14ac:dyDescent="0.3">
      <c r="A387" s="100">
        <v>212</v>
      </c>
      <c r="B387" s="103" t="s">
        <v>596</v>
      </c>
      <c r="C387" s="103" t="s">
        <v>597</v>
      </c>
      <c r="D387" s="99">
        <v>213711</v>
      </c>
      <c r="E387" s="103" t="s">
        <v>934</v>
      </c>
      <c r="F387" s="18">
        <v>16</v>
      </c>
      <c r="G387" s="101">
        <v>202242</v>
      </c>
      <c r="H387" s="100" t="s">
        <v>997</v>
      </c>
      <c r="I387" s="100">
        <v>4</v>
      </c>
      <c r="J387" s="104">
        <v>45114</v>
      </c>
      <c r="K387" s="100" t="s">
        <v>998</v>
      </c>
      <c r="L387" s="106">
        <v>45114.277708333335</v>
      </c>
      <c r="M387" s="100">
        <v>196</v>
      </c>
    </row>
    <row r="388" spans="1:13" x14ac:dyDescent="0.3">
      <c r="A388" s="100">
        <v>213</v>
      </c>
      <c r="B388" s="103" t="s">
        <v>596</v>
      </c>
      <c r="C388" s="103" t="s">
        <v>597</v>
      </c>
      <c r="D388" s="99">
        <v>213711</v>
      </c>
      <c r="E388" s="103" t="s">
        <v>934</v>
      </c>
      <c r="F388" s="18">
        <v>16</v>
      </c>
      <c r="G388" s="101">
        <v>202242</v>
      </c>
      <c r="H388" s="100" t="s">
        <v>999</v>
      </c>
      <c r="I388" s="100">
        <v>2</v>
      </c>
      <c r="J388" s="104">
        <v>45114</v>
      </c>
      <c r="K388" s="100" t="s">
        <v>1000</v>
      </c>
      <c r="L388" s="106">
        <v>45114.279768518521</v>
      </c>
      <c r="M388" s="100">
        <v>197</v>
      </c>
    </row>
    <row r="389" spans="1:13" x14ac:dyDescent="0.3">
      <c r="A389" s="100">
        <v>214</v>
      </c>
      <c r="B389" s="103" t="s">
        <v>596</v>
      </c>
      <c r="C389" s="103" t="s">
        <v>597</v>
      </c>
      <c r="D389" s="99">
        <v>213711</v>
      </c>
      <c r="E389" s="103" t="s">
        <v>934</v>
      </c>
      <c r="F389" s="18">
        <v>16</v>
      </c>
      <c r="G389" s="101">
        <v>202242</v>
      </c>
      <c r="H389" s="100" t="s">
        <v>1001</v>
      </c>
      <c r="I389" s="100">
        <v>2</v>
      </c>
      <c r="J389" s="104">
        <v>45114</v>
      </c>
      <c r="K389" s="100" t="s">
        <v>1002</v>
      </c>
      <c r="L389" s="106">
        <v>45114.279918981483</v>
      </c>
      <c r="M389" s="100">
        <v>198</v>
      </c>
    </row>
    <row r="390" spans="1:13" x14ac:dyDescent="0.3">
      <c r="A390" s="100">
        <v>215</v>
      </c>
      <c r="B390" s="103" t="s">
        <v>596</v>
      </c>
      <c r="C390" s="103" t="s">
        <v>597</v>
      </c>
      <c r="D390" s="99">
        <v>213711</v>
      </c>
      <c r="E390" s="103" t="s">
        <v>934</v>
      </c>
      <c r="F390" s="109">
        <v>16</v>
      </c>
      <c r="G390" s="110">
        <v>202242</v>
      </c>
      <c r="H390" s="100" t="s">
        <v>1003</v>
      </c>
      <c r="I390" s="100">
        <v>1</v>
      </c>
      <c r="J390" s="104">
        <v>45114</v>
      </c>
      <c r="K390" s="100" t="s">
        <v>1004</v>
      </c>
      <c r="L390" s="106">
        <v>45114.280185185184</v>
      </c>
      <c r="M390" s="100">
        <v>199</v>
      </c>
    </row>
    <row r="391" spans="1:13" x14ac:dyDescent="0.3">
      <c r="A391" s="100">
        <v>216</v>
      </c>
      <c r="B391" s="103" t="s">
        <v>596</v>
      </c>
      <c r="C391" s="103" t="s">
        <v>597</v>
      </c>
      <c r="D391" s="99">
        <v>213711</v>
      </c>
      <c r="E391" s="103" t="s">
        <v>934</v>
      </c>
      <c r="F391" s="18">
        <v>16</v>
      </c>
      <c r="G391" s="101">
        <v>202242</v>
      </c>
      <c r="H391" s="100" t="s">
        <v>1005</v>
      </c>
      <c r="I391" s="100">
        <v>3</v>
      </c>
      <c r="J391" s="104">
        <v>45114</v>
      </c>
      <c r="K391" s="100" t="s">
        <v>1006</v>
      </c>
      <c r="L391" s="106">
        <v>45114.2809375</v>
      </c>
      <c r="M391" s="100">
        <v>200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6"/>
  <sheetViews>
    <sheetView topLeftCell="O13" workbookViewId="0">
      <selection activeCell="W1" sqref="W1"/>
    </sheetView>
  </sheetViews>
  <sheetFormatPr baseColWidth="10" defaultColWidth="11.5546875" defaultRowHeight="14.4" x14ac:dyDescent="0.3"/>
  <cols>
    <col min="1" max="1" width="4.44140625" style="100" customWidth="1"/>
    <col min="2" max="2" width="22.6640625" style="100" bestFit="1" customWidth="1"/>
    <col min="3" max="4" width="8.6640625" style="100" customWidth="1"/>
    <col min="5" max="5" width="13" style="100" bestFit="1" customWidth="1"/>
    <col min="6" max="6" width="7.33203125" style="100" customWidth="1"/>
    <col min="7" max="7" width="11.5546875" style="100"/>
    <col min="8" max="8" width="13" style="100" bestFit="1" customWidth="1"/>
    <col min="9" max="9" width="18.109375" style="100" bestFit="1" customWidth="1"/>
    <col min="10" max="10" width="5.6640625" style="100" bestFit="1" customWidth="1"/>
    <col min="11" max="11" width="11.88671875" style="100" customWidth="1"/>
    <col min="12" max="12" width="9.33203125" style="100" customWidth="1"/>
    <col min="13" max="13" width="17.6640625" style="100" customWidth="1"/>
    <col min="14" max="16" width="11.5546875" style="100"/>
    <col min="17" max="18" width="9.33203125" style="100" customWidth="1"/>
    <col min="19" max="16384" width="11.5546875" style="100"/>
  </cols>
  <sheetData>
    <row r="1" spans="1:18" ht="43.2" x14ac:dyDescent="0.3">
      <c r="A1" s="100" t="s">
        <v>63</v>
      </c>
      <c r="B1" s="103" t="s">
        <v>64</v>
      </c>
      <c r="C1" s="103" t="s">
        <v>65</v>
      </c>
      <c r="D1" s="103" t="s">
        <v>47</v>
      </c>
      <c r="E1" s="103" t="s">
        <v>66</v>
      </c>
      <c r="F1" s="103" t="s">
        <v>75</v>
      </c>
      <c r="G1" s="105" t="s">
        <v>181</v>
      </c>
      <c r="H1" s="103" t="s">
        <v>66</v>
      </c>
      <c r="I1" s="100" t="s">
        <v>67</v>
      </c>
      <c r="J1" s="100" t="s">
        <v>68</v>
      </c>
      <c r="K1" s="103" t="s">
        <v>45</v>
      </c>
      <c r="L1" s="103" t="s">
        <v>46</v>
      </c>
      <c r="M1" s="103" t="s">
        <v>182</v>
      </c>
      <c r="N1" s="105" t="s">
        <v>1007</v>
      </c>
      <c r="O1" s="105" t="s">
        <v>1007</v>
      </c>
      <c r="P1" s="105" t="s">
        <v>1008</v>
      </c>
      <c r="Q1" s="105" t="s">
        <v>183</v>
      </c>
      <c r="R1" s="105"/>
    </row>
    <row r="2" spans="1:18" x14ac:dyDescent="0.3">
      <c r="A2" s="100">
        <v>21</v>
      </c>
      <c r="B2" s="103" t="s">
        <v>356</v>
      </c>
      <c r="C2" s="103" t="s">
        <v>357</v>
      </c>
      <c r="D2" s="103">
        <v>213777</v>
      </c>
      <c r="E2" s="103" t="s">
        <v>266</v>
      </c>
      <c r="F2" s="18">
        <v>35</v>
      </c>
      <c r="G2" s="101">
        <v>223161</v>
      </c>
      <c r="H2" s="103" t="s">
        <v>266</v>
      </c>
      <c r="I2" s="100" t="s">
        <v>358</v>
      </c>
      <c r="J2" s="100">
        <v>1</v>
      </c>
      <c r="K2" s="104">
        <v>45111</v>
      </c>
      <c r="L2" s="100" t="s">
        <v>359</v>
      </c>
      <c r="M2" s="106">
        <v>45111.34752314815</v>
      </c>
      <c r="N2" s="100">
        <v>1</v>
      </c>
      <c r="O2" s="100">
        <v>1</v>
      </c>
      <c r="P2" s="100">
        <v>1</v>
      </c>
      <c r="Q2" s="100">
        <v>1</v>
      </c>
    </row>
    <row r="3" spans="1:18" x14ac:dyDescent="0.3">
      <c r="A3" s="100">
        <v>84</v>
      </c>
      <c r="B3" s="103" t="s">
        <v>356</v>
      </c>
      <c r="C3" s="103" t="s">
        <v>357</v>
      </c>
      <c r="D3" s="103">
        <v>213777</v>
      </c>
      <c r="E3" s="103" t="s">
        <v>266</v>
      </c>
      <c r="F3" s="18">
        <v>35</v>
      </c>
      <c r="G3" s="101">
        <v>223161</v>
      </c>
      <c r="H3" s="103" t="s">
        <v>266</v>
      </c>
      <c r="I3" s="100" t="s">
        <v>485</v>
      </c>
      <c r="J3" s="100">
        <v>1</v>
      </c>
      <c r="K3" s="104">
        <v>45113</v>
      </c>
      <c r="L3" s="100" t="s">
        <v>486</v>
      </c>
      <c r="M3" s="106">
        <v>45113.559062499997</v>
      </c>
      <c r="N3" s="100">
        <v>1</v>
      </c>
      <c r="O3" s="100">
        <v>1</v>
      </c>
      <c r="P3" s="100">
        <v>2</v>
      </c>
      <c r="Q3" s="100">
        <v>64</v>
      </c>
    </row>
    <row r="4" spans="1:18" x14ac:dyDescent="0.3">
      <c r="A4" s="100">
        <v>51</v>
      </c>
      <c r="B4" s="103" t="s">
        <v>184</v>
      </c>
      <c r="C4" s="103" t="s">
        <v>81</v>
      </c>
      <c r="D4" s="103">
        <v>213665</v>
      </c>
      <c r="E4" s="103" t="s">
        <v>266</v>
      </c>
      <c r="F4" s="18">
        <v>35</v>
      </c>
      <c r="G4" s="101">
        <v>223161</v>
      </c>
      <c r="H4" s="103" t="s">
        <v>266</v>
      </c>
      <c r="I4" s="100" t="s">
        <v>267</v>
      </c>
      <c r="J4" s="100">
        <v>0</v>
      </c>
      <c r="K4" s="104">
        <v>45114</v>
      </c>
      <c r="L4" s="100" t="s">
        <v>268</v>
      </c>
      <c r="M4" s="106">
        <v>45114.062673611108</v>
      </c>
      <c r="N4" s="100">
        <v>1</v>
      </c>
      <c r="O4" s="100">
        <v>1</v>
      </c>
      <c r="P4" s="100">
        <v>3</v>
      </c>
      <c r="Q4" s="100">
        <v>36</v>
      </c>
    </row>
    <row r="5" spans="1:18" x14ac:dyDescent="0.3">
      <c r="A5" s="100">
        <v>52</v>
      </c>
      <c r="B5" s="103" t="s">
        <v>184</v>
      </c>
      <c r="C5" s="103" t="s">
        <v>81</v>
      </c>
      <c r="D5" s="103">
        <v>213665</v>
      </c>
      <c r="E5" s="103" t="s">
        <v>266</v>
      </c>
      <c r="F5" s="18">
        <v>35</v>
      </c>
      <c r="G5" s="101">
        <v>223161</v>
      </c>
      <c r="H5" s="103" t="s">
        <v>266</v>
      </c>
      <c r="I5" s="100" t="s">
        <v>269</v>
      </c>
      <c r="J5" s="100">
        <v>1</v>
      </c>
      <c r="K5" s="104">
        <v>45114</v>
      </c>
      <c r="L5" s="100" t="s">
        <v>270</v>
      </c>
      <c r="M5" s="106">
        <v>45114.065393518518</v>
      </c>
      <c r="N5" s="100">
        <v>1</v>
      </c>
      <c r="O5" s="100">
        <v>1</v>
      </c>
      <c r="P5" s="100">
        <v>4</v>
      </c>
      <c r="Q5" s="100">
        <v>37</v>
      </c>
    </row>
    <row r="6" spans="1:18" x14ac:dyDescent="0.3">
      <c r="A6" s="100">
        <v>53</v>
      </c>
      <c r="B6" s="103" t="s">
        <v>184</v>
      </c>
      <c r="C6" s="103" t="s">
        <v>81</v>
      </c>
      <c r="D6" s="103">
        <v>213665</v>
      </c>
      <c r="E6" s="103" t="s">
        <v>266</v>
      </c>
      <c r="F6" s="18">
        <v>35</v>
      </c>
      <c r="G6" s="101">
        <v>223161</v>
      </c>
      <c r="H6" s="103" t="s">
        <v>266</v>
      </c>
      <c r="I6" s="100" t="s">
        <v>271</v>
      </c>
      <c r="J6" s="100">
        <v>2</v>
      </c>
      <c r="K6" s="104">
        <v>45114</v>
      </c>
      <c r="L6" s="100" t="s">
        <v>272</v>
      </c>
      <c r="M6" s="106">
        <v>45114.105439814812</v>
      </c>
      <c r="N6" s="100">
        <v>1</v>
      </c>
      <c r="O6" s="100">
        <v>1</v>
      </c>
      <c r="P6" s="100">
        <v>5</v>
      </c>
      <c r="Q6" s="100">
        <v>38</v>
      </c>
    </row>
    <row r="7" spans="1:18" x14ac:dyDescent="0.3">
      <c r="A7" s="100">
        <v>57</v>
      </c>
      <c r="B7" s="103" t="s">
        <v>184</v>
      </c>
      <c r="C7" s="103" t="s">
        <v>81</v>
      </c>
      <c r="D7" s="103">
        <v>213665</v>
      </c>
      <c r="E7" s="103" t="s">
        <v>266</v>
      </c>
      <c r="F7" s="18">
        <v>35</v>
      </c>
      <c r="G7" s="101">
        <v>223161</v>
      </c>
      <c r="H7" s="103" t="s">
        <v>266</v>
      </c>
      <c r="I7" s="100" t="s">
        <v>280</v>
      </c>
      <c r="J7" s="100">
        <v>0</v>
      </c>
      <c r="K7" s="104">
        <v>45114</v>
      </c>
      <c r="L7" s="100" t="s">
        <v>281</v>
      </c>
      <c r="M7" s="106">
        <v>45114.146064814813</v>
      </c>
      <c r="N7" s="100">
        <v>1</v>
      </c>
      <c r="O7" s="100">
        <v>1</v>
      </c>
      <c r="P7" s="100">
        <v>6</v>
      </c>
      <c r="Q7" s="100">
        <v>42</v>
      </c>
    </row>
    <row r="8" spans="1:18" x14ac:dyDescent="0.3">
      <c r="A8" s="100">
        <v>58</v>
      </c>
      <c r="B8" s="103" t="s">
        <v>184</v>
      </c>
      <c r="C8" s="103" t="s">
        <v>81</v>
      </c>
      <c r="D8" s="103">
        <v>213665</v>
      </c>
      <c r="E8" s="103" t="s">
        <v>266</v>
      </c>
      <c r="F8" s="18">
        <v>35</v>
      </c>
      <c r="G8" s="101">
        <v>223161</v>
      </c>
      <c r="H8" s="103" t="s">
        <v>266</v>
      </c>
      <c r="I8" s="100" t="s">
        <v>282</v>
      </c>
      <c r="J8" s="100">
        <v>0</v>
      </c>
      <c r="K8" s="104">
        <v>45114</v>
      </c>
      <c r="L8" s="100" t="s">
        <v>283</v>
      </c>
      <c r="M8" s="106">
        <v>45114.150682870371</v>
      </c>
      <c r="N8" s="100">
        <v>1</v>
      </c>
      <c r="O8" s="100">
        <v>1</v>
      </c>
      <c r="P8" s="100">
        <v>7</v>
      </c>
      <c r="Q8" s="100">
        <v>43</v>
      </c>
    </row>
    <row r="9" spans="1:18" x14ac:dyDescent="0.3">
      <c r="A9" s="100">
        <v>59</v>
      </c>
      <c r="B9" s="103" t="s">
        <v>184</v>
      </c>
      <c r="C9" s="103" t="s">
        <v>81</v>
      </c>
      <c r="D9" s="103">
        <v>213665</v>
      </c>
      <c r="E9" s="103" t="s">
        <v>266</v>
      </c>
      <c r="F9" s="18">
        <v>35</v>
      </c>
      <c r="G9" s="101">
        <v>223161</v>
      </c>
      <c r="H9" s="103" t="s">
        <v>266</v>
      </c>
      <c r="I9" s="100" t="s">
        <v>284</v>
      </c>
      <c r="J9" s="100">
        <v>1</v>
      </c>
      <c r="K9" s="104">
        <v>45114</v>
      </c>
      <c r="L9" s="100" t="s">
        <v>285</v>
      </c>
      <c r="M9" s="106">
        <v>45114.151504629626</v>
      </c>
      <c r="N9" s="100">
        <v>1</v>
      </c>
      <c r="O9" s="100">
        <v>1</v>
      </c>
      <c r="P9" s="100">
        <v>8</v>
      </c>
      <c r="Q9" s="100">
        <v>44</v>
      </c>
    </row>
    <row r="10" spans="1:18" x14ac:dyDescent="0.3">
      <c r="A10" s="100">
        <v>60</v>
      </c>
      <c r="B10" s="103" t="s">
        <v>184</v>
      </c>
      <c r="C10" s="103" t="s">
        <v>81</v>
      </c>
      <c r="D10" s="103">
        <v>213665</v>
      </c>
      <c r="E10" s="103" t="s">
        <v>266</v>
      </c>
      <c r="F10" s="18">
        <v>35</v>
      </c>
      <c r="G10" s="101">
        <v>223161</v>
      </c>
      <c r="H10" s="103" t="s">
        <v>266</v>
      </c>
      <c r="I10" s="100" t="s">
        <v>286</v>
      </c>
      <c r="J10" s="100">
        <v>1</v>
      </c>
      <c r="K10" s="104">
        <v>45114</v>
      </c>
      <c r="L10" s="100" t="s">
        <v>287</v>
      </c>
      <c r="M10" s="106">
        <v>45114.15152777778</v>
      </c>
      <c r="N10" s="100">
        <v>1</v>
      </c>
      <c r="O10" s="100">
        <v>1</v>
      </c>
      <c r="P10" s="100">
        <v>9</v>
      </c>
      <c r="Q10" s="100">
        <v>45</v>
      </c>
    </row>
    <row r="11" spans="1:18" x14ac:dyDescent="0.3">
      <c r="A11" s="100">
        <v>62</v>
      </c>
      <c r="B11" s="103" t="s">
        <v>184</v>
      </c>
      <c r="C11" s="103" t="s">
        <v>81</v>
      </c>
      <c r="D11" s="103">
        <v>213665</v>
      </c>
      <c r="E11" s="103" t="s">
        <v>266</v>
      </c>
      <c r="F11" s="18">
        <v>35</v>
      </c>
      <c r="G11" s="101">
        <v>223161</v>
      </c>
      <c r="H11" s="103" t="s">
        <v>266</v>
      </c>
      <c r="I11" s="100" t="s">
        <v>290</v>
      </c>
      <c r="J11" s="100">
        <v>1</v>
      </c>
      <c r="K11" s="104">
        <v>45114</v>
      </c>
      <c r="L11" s="100" t="s">
        <v>291</v>
      </c>
      <c r="M11" s="106">
        <v>45114.153240740743</v>
      </c>
      <c r="N11" s="100">
        <v>1</v>
      </c>
      <c r="O11" s="100">
        <v>1</v>
      </c>
      <c r="P11" s="100">
        <v>10</v>
      </c>
      <c r="Q11" s="100">
        <v>47</v>
      </c>
    </row>
    <row r="12" spans="1:18" x14ac:dyDescent="0.3">
      <c r="A12" s="100">
        <v>63</v>
      </c>
      <c r="B12" s="103" t="s">
        <v>184</v>
      </c>
      <c r="C12" s="103" t="s">
        <v>81</v>
      </c>
      <c r="D12" s="103">
        <v>213665</v>
      </c>
      <c r="E12" s="103" t="s">
        <v>266</v>
      </c>
      <c r="F12" s="18">
        <v>35</v>
      </c>
      <c r="G12" s="101">
        <v>223161</v>
      </c>
      <c r="H12" s="103" t="s">
        <v>266</v>
      </c>
      <c r="I12" s="100" t="s">
        <v>292</v>
      </c>
      <c r="J12" s="100">
        <v>2</v>
      </c>
      <c r="K12" s="104">
        <v>45114</v>
      </c>
      <c r="L12" s="100" t="s">
        <v>293</v>
      </c>
      <c r="M12" s="106">
        <v>45114.154363425929</v>
      </c>
      <c r="N12" s="100">
        <v>1</v>
      </c>
      <c r="O12" s="100">
        <v>1</v>
      </c>
      <c r="P12" s="100">
        <v>11</v>
      </c>
      <c r="Q12" s="100">
        <v>48</v>
      </c>
    </row>
    <row r="13" spans="1:18" x14ac:dyDescent="0.3">
      <c r="A13" s="100">
        <v>64</v>
      </c>
      <c r="B13" s="103" t="s">
        <v>184</v>
      </c>
      <c r="C13" s="103" t="s">
        <v>81</v>
      </c>
      <c r="D13" s="103">
        <v>213665</v>
      </c>
      <c r="E13" s="103" t="s">
        <v>266</v>
      </c>
      <c r="F13" s="18">
        <v>35</v>
      </c>
      <c r="G13" s="101">
        <v>223161</v>
      </c>
      <c r="H13" s="103" t="s">
        <v>266</v>
      </c>
      <c r="I13" s="100" t="s">
        <v>294</v>
      </c>
      <c r="J13" s="100">
        <v>2</v>
      </c>
      <c r="K13" s="104">
        <v>45114</v>
      </c>
      <c r="L13" s="100" t="s">
        <v>295</v>
      </c>
      <c r="M13" s="106">
        <v>45114.154386574075</v>
      </c>
      <c r="N13" s="100">
        <v>1</v>
      </c>
      <c r="O13" s="100">
        <v>1</v>
      </c>
      <c r="P13" s="100">
        <v>12</v>
      </c>
      <c r="Q13" s="100">
        <v>49</v>
      </c>
    </row>
    <row r="14" spans="1:18" x14ac:dyDescent="0.3">
      <c r="A14" s="100">
        <v>65</v>
      </c>
      <c r="B14" s="103" t="s">
        <v>184</v>
      </c>
      <c r="C14" s="103" t="s">
        <v>81</v>
      </c>
      <c r="D14" s="103">
        <v>213665</v>
      </c>
      <c r="E14" s="103" t="s">
        <v>266</v>
      </c>
      <c r="F14" s="18">
        <v>35</v>
      </c>
      <c r="G14" s="101">
        <v>223161</v>
      </c>
      <c r="H14" s="103" t="s">
        <v>266</v>
      </c>
      <c r="I14" s="100" t="s">
        <v>296</v>
      </c>
      <c r="J14" s="100">
        <v>2</v>
      </c>
      <c r="K14" s="104">
        <v>45114</v>
      </c>
      <c r="L14" s="100" t="s">
        <v>297</v>
      </c>
      <c r="M14" s="106">
        <v>45114.155428240738</v>
      </c>
      <c r="N14" s="100">
        <v>1</v>
      </c>
      <c r="O14" s="100">
        <v>1</v>
      </c>
      <c r="P14" s="100">
        <v>13</v>
      </c>
      <c r="Q14" s="100">
        <v>50</v>
      </c>
    </row>
    <row r="15" spans="1:18" x14ac:dyDescent="0.3">
      <c r="A15" s="100">
        <v>66</v>
      </c>
      <c r="B15" s="103" t="s">
        <v>184</v>
      </c>
      <c r="C15" s="103" t="s">
        <v>81</v>
      </c>
      <c r="D15" s="103">
        <v>213665</v>
      </c>
      <c r="E15" s="103" t="s">
        <v>266</v>
      </c>
      <c r="F15" s="18">
        <v>35</v>
      </c>
      <c r="G15" s="101">
        <v>223161</v>
      </c>
      <c r="H15" s="103" t="s">
        <v>266</v>
      </c>
      <c r="I15" s="100" t="s">
        <v>298</v>
      </c>
      <c r="J15" s="100">
        <v>1</v>
      </c>
      <c r="K15" s="104">
        <v>45114</v>
      </c>
      <c r="L15" s="100" t="s">
        <v>299</v>
      </c>
      <c r="M15" s="106">
        <v>45114.157465277778</v>
      </c>
      <c r="N15" s="100">
        <v>1</v>
      </c>
      <c r="O15" s="100">
        <v>1</v>
      </c>
      <c r="P15" s="100">
        <v>14</v>
      </c>
      <c r="Q15" s="100">
        <v>51</v>
      </c>
    </row>
    <row r="16" spans="1:18" x14ac:dyDescent="0.3">
      <c r="A16" s="100">
        <v>67</v>
      </c>
      <c r="B16" s="103" t="s">
        <v>184</v>
      </c>
      <c r="C16" s="103" t="s">
        <v>81</v>
      </c>
      <c r="D16" s="103">
        <v>213665</v>
      </c>
      <c r="E16" s="103" t="s">
        <v>266</v>
      </c>
      <c r="F16" s="18">
        <v>35</v>
      </c>
      <c r="G16" s="101">
        <v>223161</v>
      </c>
      <c r="H16" s="103" t="s">
        <v>266</v>
      </c>
      <c r="I16" s="100" t="s">
        <v>300</v>
      </c>
      <c r="J16" s="100">
        <v>1</v>
      </c>
      <c r="K16" s="104">
        <v>45114</v>
      </c>
      <c r="L16" s="100" t="s">
        <v>301</v>
      </c>
      <c r="M16" s="106">
        <v>45114.159884259258</v>
      </c>
      <c r="N16" s="100">
        <v>1</v>
      </c>
      <c r="O16" s="100">
        <v>1</v>
      </c>
      <c r="P16" s="100">
        <v>15</v>
      </c>
      <c r="Q16" s="100">
        <v>52</v>
      </c>
    </row>
    <row r="17" spans="1:17" x14ac:dyDescent="0.3">
      <c r="A17" s="100">
        <v>68</v>
      </c>
      <c r="B17" s="103" t="s">
        <v>184</v>
      </c>
      <c r="C17" s="103" t="s">
        <v>81</v>
      </c>
      <c r="D17" s="103">
        <v>213665</v>
      </c>
      <c r="E17" s="103" t="s">
        <v>266</v>
      </c>
      <c r="F17" s="18">
        <v>35</v>
      </c>
      <c r="G17" s="101">
        <v>223161</v>
      </c>
      <c r="H17" s="103" t="s">
        <v>266</v>
      </c>
      <c r="I17" s="100" t="s">
        <v>302</v>
      </c>
      <c r="J17" s="100">
        <v>2</v>
      </c>
      <c r="K17" s="104">
        <v>45114</v>
      </c>
      <c r="L17" s="100" t="s">
        <v>303</v>
      </c>
      <c r="M17" s="106">
        <v>45114.162395833337</v>
      </c>
      <c r="N17" s="100">
        <v>1</v>
      </c>
      <c r="O17" s="100">
        <v>1</v>
      </c>
      <c r="P17" s="100">
        <v>16</v>
      </c>
      <c r="Q17" s="100">
        <v>53</v>
      </c>
    </row>
    <row r="18" spans="1:17" x14ac:dyDescent="0.3">
      <c r="A18" s="100">
        <v>69</v>
      </c>
      <c r="B18" s="103" t="s">
        <v>184</v>
      </c>
      <c r="C18" s="103" t="s">
        <v>81</v>
      </c>
      <c r="D18" s="103">
        <v>213665</v>
      </c>
      <c r="E18" s="103" t="s">
        <v>266</v>
      </c>
      <c r="F18" s="18">
        <v>35</v>
      </c>
      <c r="G18" s="101">
        <v>223161</v>
      </c>
      <c r="H18" s="103" t="s">
        <v>266</v>
      </c>
      <c r="I18" s="100" t="s">
        <v>304</v>
      </c>
      <c r="J18" s="100">
        <v>2</v>
      </c>
      <c r="K18" s="104">
        <v>45114</v>
      </c>
      <c r="L18" s="100" t="s">
        <v>305</v>
      </c>
      <c r="M18" s="106">
        <v>45114.163090277776</v>
      </c>
      <c r="N18" s="100">
        <v>1</v>
      </c>
      <c r="O18" s="100">
        <v>1</v>
      </c>
      <c r="P18" s="100">
        <v>17</v>
      </c>
      <c r="Q18" s="100">
        <v>54</v>
      </c>
    </row>
    <row r="19" spans="1:17" x14ac:dyDescent="0.3">
      <c r="A19" s="100">
        <v>70</v>
      </c>
      <c r="B19" s="103" t="s">
        <v>184</v>
      </c>
      <c r="C19" s="103" t="s">
        <v>81</v>
      </c>
      <c r="D19" s="103">
        <v>213665</v>
      </c>
      <c r="E19" s="103" t="s">
        <v>266</v>
      </c>
      <c r="F19" s="18">
        <v>35</v>
      </c>
      <c r="G19" s="101">
        <v>223161</v>
      </c>
      <c r="H19" s="103" t="s">
        <v>266</v>
      </c>
      <c r="I19" s="100" t="s">
        <v>306</v>
      </c>
      <c r="J19" s="100">
        <v>2</v>
      </c>
      <c r="K19" s="104">
        <v>45114</v>
      </c>
      <c r="L19" s="100" t="s">
        <v>307</v>
      </c>
      <c r="M19" s="106">
        <v>45114.163518518515</v>
      </c>
      <c r="N19" s="100">
        <v>1</v>
      </c>
      <c r="O19" s="100">
        <v>1</v>
      </c>
      <c r="P19" s="100">
        <v>18</v>
      </c>
      <c r="Q19" s="100">
        <v>55</v>
      </c>
    </row>
    <row r="20" spans="1:17" x14ac:dyDescent="0.3">
      <c r="A20" s="100">
        <v>16</v>
      </c>
      <c r="B20" s="103" t="s">
        <v>555</v>
      </c>
      <c r="C20" s="103" t="s">
        <v>556</v>
      </c>
      <c r="D20" s="103">
        <v>213668</v>
      </c>
      <c r="E20" s="103" t="s">
        <v>557</v>
      </c>
      <c r="F20" s="18">
        <v>42</v>
      </c>
      <c r="G20" s="101">
        <v>223292</v>
      </c>
      <c r="H20" s="103" t="s">
        <v>557</v>
      </c>
      <c r="I20" s="100" t="s">
        <v>558</v>
      </c>
      <c r="J20" s="100">
        <v>1</v>
      </c>
      <c r="K20" s="104">
        <v>45111</v>
      </c>
      <c r="L20" s="100" t="s">
        <v>559</v>
      </c>
      <c r="M20" s="106">
        <v>45111.357199074075</v>
      </c>
      <c r="N20" s="100">
        <v>2</v>
      </c>
      <c r="O20" s="100">
        <v>2</v>
      </c>
      <c r="P20" s="100">
        <v>1</v>
      </c>
      <c r="Q20" s="100">
        <v>1</v>
      </c>
    </row>
    <row r="21" spans="1:17" x14ac:dyDescent="0.3">
      <c r="A21" s="100">
        <v>163</v>
      </c>
      <c r="B21" s="103" t="s">
        <v>596</v>
      </c>
      <c r="C21" s="103" t="s">
        <v>597</v>
      </c>
      <c r="D21" s="103">
        <v>213711</v>
      </c>
      <c r="E21" s="103" t="s">
        <v>557</v>
      </c>
      <c r="F21" s="18">
        <v>42</v>
      </c>
      <c r="G21" s="101">
        <v>223292</v>
      </c>
      <c r="H21" s="103" t="s">
        <v>557</v>
      </c>
      <c r="I21" s="100" t="s">
        <v>896</v>
      </c>
      <c r="J21" s="100">
        <v>1</v>
      </c>
      <c r="K21" s="104">
        <v>45113</v>
      </c>
      <c r="L21" s="100" t="s">
        <v>897</v>
      </c>
      <c r="M21" s="106">
        <v>45113.4453587963</v>
      </c>
      <c r="N21" s="100">
        <v>2</v>
      </c>
      <c r="O21" s="100">
        <v>2</v>
      </c>
      <c r="P21" s="100">
        <v>2</v>
      </c>
      <c r="Q21" s="100">
        <v>147</v>
      </c>
    </row>
    <row r="22" spans="1:17" x14ac:dyDescent="0.3">
      <c r="A22" s="100">
        <v>164</v>
      </c>
      <c r="B22" s="103" t="s">
        <v>596</v>
      </c>
      <c r="C22" s="103" t="s">
        <v>597</v>
      </c>
      <c r="D22" s="103">
        <v>213711</v>
      </c>
      <c r="E22" s="103" t="s">
        <v>557</v>
      </c>
      <c r="F22" s="18">
        <v>42</v>
      </c>
      <c r="G22" s="101">
        <v>223292</v>
      </c>
      <c r="H22" s="103" t="s">
        <v>557</v>
      </c>
      <c r="I22" s="100" t="s">
        <v>898</v>
      </c>
      <c r="J22" s="100">
        <v>1</v>
      </c>
      <c r="K22" s="104">
        <v>45113</v>
      </c>
      <c r="L22" s="100" t="s">
        <v>899</v>
      </c>
      <c r="M22" s="106">
        <v>45113.445381944446</v>
      </c>
      <c r="N22" s="100">
        <v>2</v>
      </c>
      <c r="O22" s="100">
        <v>2</v>
      </c>
      <c r="P22" s="100">
        <v>3</v>
      </c>
      <c r="Q22" s="100">
        <v>148</v>
      </c>
    </row>
    <row r="23" spans="1:17" x14ac:dyDescent="0.3">
      <c r="A23" s="100">
        <v>22</v>
      </c>
      <c r="B23" s="103" t="s">
        <v>356</v>
      </c>
      <c r="C23" s="103" t="s">
        <v>357</v>
      </c>
      <c r="D23" s="103">
        <v>213777</v>
      </c>
      <c r="E23" s="103" t="s">
        <v>353</v>
      </c>
      <c r="F23" s="18">
        <v>47</v>
      </c>
      <c r="G23" s="101">
        <v>223437</v>
      </c>
      <c r="H23" s="103" t="s">
        <v>353</v>
      </c>
      <c r="I23" s="100" t="s">
        <v>360</v>
      </c>
      <c r="J23" s="100">
        <v>2</v>
      </c>
      <c r="K23" s="104">
        <v>45111</v>
      </c>
      <c r="L23" s="100" t="s">
        <v>361</v>
      </c>
      <c r="M23" s="106">
        <v>45111.357986111114</v>
      </c>
      <c r="N23" s="100">
        <v>3</v>
      </c>
      <c r="O23" s="100">
        <v>3</v>
      </c>
      <c r="P23" s="100">
        <v>1</v>
      </c>
      <c r="Q23" s="100">
        <v>2</v>
      </c>
    </row>
    <row r="24" spans="1:17" x14ac:dyDescent="0.3">
      <c r="A24" s="100">
        <v>114</v>
      </c>
      <c r="B24" s="103" t="s">
        <v>356</v>
      </c>
      <c r="C24" s="103" t="s">
        <v>357</v>
      </c>
      <c r="D24" s="103">
        <v>213777</v>
      </c>
      <c r="E24" s="103" t="s">
        <v>353</v>
      </c>
      <c r="F24" s="18">
        <v>47</v>
      </c>
      <c r="G24" s="101">
        <v>223437</v>
      </c>
      <c r="H24" s="103" t="s">
        <v>353</v>
      </c>
      <c r="I24" s="100" t="s">
        <v>547</v>
      </c>
      <c r="J24" s="100">
        <v>1</v>
      </c>
      <c r="K24" s="104">
        <v>45115</v>
      </c>
      <c r="L24" s="100" t="s">
        <v>548</v>
      </c>
      <c r="M24" s="106">
        <v>45115.023969907408</v>
      </c>
      <c r="N24" s="100">
        <v>3</v>
      </c>
      <c r="O24" s="100">
        <v>3</v>
      </c>
      <c r="P24" s="100">
        <v>2</v>
      </c>
      <c r="Q24" s="100">
        <v>94</v>
      </c>
    </row>
    <row r="25" spans="1:17" x14ac:dyDescent="0.3">
      <c r="A25" s="100">
        <v>115</v>
      </c>
      <c r="B25" s="103" t="s">
        <v>356</v>
      </c>
      <c r="C25" s="103" t="s">
        <v>357</v>
      </c>
      <c r="D25" s="103">
        <v>213777</v>
      </c>
      <c r="E25" s="103" t="s">
        <v>353</v>
      </c>
      <c r="F25" s="18">
        <v>47</v>
      </c>
      <c r="G25" s="101">
        <v>223437</v>
      </c>
      <c r="H25" s="103" t="s">
        <v>353</v>
      </c>
      <c r="I25" s="100" t="s">
        <v>549</v>
      </c>
      <c r="J25" s="100">
        <v>1</v>
      </c>
      <c r="K25" s="104">
        <v>45115</v>
      </c>
      <c r="L25" s="100" t="s">
        <v>550</v>
      </c>
      <c r="M25" s="106">
        <v>45115.047106481485</v>
      </c>
      <c r="N25" s="100">
        <v>3</v>
      </c>
      <c r="O25" s="100">
        <v>3</v>
      </c>
      <c r="P25" s="100">
        <v>3</v>
      </c>
      <c r="Q25" s="100">
        <v>95</v>
      </c>
    </row>
    <row r="26" spans="1:17" x14ac:dyDescent="0.3">
      <c r="A26" s="100">
        <v>116</v>
      </c>
      <c r="B26" s="103" t="s">
        <v>356</v>
      </c>
      <c r="C26" s="103" t="s">
        <v>357</v>
      </c>
      <c r="D26" s="103">
        <v>213777</v>
      </c>
      <c r="E26" s="103" t="s">
        <v>353</v>
      </c>
      <c r="F26" s="18">
        <v>47</v>
      </c>
      <c r="G26" s="101">
        <v>223437</v>
      </c>
      <c r="H26" s="103" t="s">
        <v>353</v>
      </c>
      <c r="I26" s="100" t="s">
        <v>551</v>
      </c>
      <c r="J26" s="100">
        <v>0</v>
      </c>
      <c r="K26" s="104">
        <v>45115</v>
      </c>
      <c r="L26" s="100" t="s">
        <v>552</v>
      </c>
      <c r="M26" s="106">
        <v>45115.048750000002</v>
      </c>
      <c r="N26" s="100">
        <v>3</v>
      </c>
      <c r="O26" s="100">
        <v>3</v>
      </c>
      <c r="P26" s="100">
        <v>4</v>
      </c>
      <c r="Q26" s="100">
        <v>96</v>
      </c>
    </row>
    <row r="27" spans="1:17" x14ac:dyDescent="0.3">
      <c r="A27" s="100">
        <v>117</v>
      </c>
      <c r="B27" s="103" t="s">
        <v>356</v>
      </c>
      <c r="C27" s="103" t="s">
        <v>357</v>
      </c>
      <c r="D27" s="103">
        <v>213777</v>
      </c>
      <c r="E27" s="103" t="s">
        <v>353</v>
      </c>
      <c r="F27" s="18">
        <v>47</v>
      </c>
      <c r="G27" s="101">
        <v>223437</v>
      </c>
      <c r="H27" s="103" t="s">
        <v>353</v>
      </c>
      <c r="I27" s="100" t="s">
        <v>553</v>
      </c>
      <c r="J27" s="100">
        <v>0</v>
      </c>
      <c r="K27" s="104">
        <v>45115</v>
      </c>
      <c r="L27" s="100" t="s">
        <v>554</v>
      </c>
      <c r="M27" s="106">
        <v>45115.054247685184</v>
      </c>
      <c r="N27" s="100">
        <v>3</v>
      </c>
      <c r="O27" s="100">
        <v>3</v>
      </c>
      <c r="P27" s="100">
        <v>5</v>
      </c>
      <c r="Q27" s="100">
        <v>97</v>
      </c>
    </row>
    <row r="28" spans="1:17" x14ac:dyDescent="0.3">
      <c r="A28" s="100">
        <v>92</v>
      </c>
      <c r="B28" s="103" t="s">
        <v>184</v>
      </c>
      <c r="C28" s="103" t="s">
        <v>81</v>
      </c>
      <c r="D28" s="103">
        <v>213665</v>
      </c>
      <c r="E28" s="103" t="s">
        <v>353</v>
      </c>
      <c r="F28" s="18">
        <v>47</v>
      </c>
      <c r="G28" s="101">
        <v>223437</v>
      </c>
      <c r="H28" s="103" t="s">
        <v>353</v>
      </c>
      <c r="I28" s="100" t="s">
        <v>354</v>
      </c>
      <c r="J28" s="100">
        <v>2</v>
      </c>
      <c r="K28" s="104">
        <v>45115</v>
      </c>
      <c r="L28" s="100" t="s">
        <v>355</v>
      </c>
      <c r="M28" s="106">
        <v>45115.140462962961</v>
      </c>
      <c r="N28" s="100">
        <v>3</v>
      </c>
      <c r="O28" s="100">
        <v>3</v>
      </c>
      <c r="P28" s="100">
        <v>6</v>
      </c>
      <c r="Q28" s="100">
        <v>77</v>
      </c>
    </row>
    <row r="29" spans="1:17" x14ac:dyDescent="0.3">
      <c r="A29" s="100">
        <v>17</v>
      </c>
      <c r="B29" s="103" t="s">
        <v>596</v>
      </c>
      <c r="C29" s="103" t="s">
        <v>597</v>
      </c>
      <c r="D29" s="103">
        <v>213711</v>
      </c>
      <c r="E29" s="103" t="s">
        <v>598</v>
      </c>
      <c r="F29" s="18">
        <v>11</v>
      </c>
      <c r="G29" s="101">
        <v>202045</v>
      </c>
      <c r="H29" s="103" t="s">
        <v>598</v>
      </c>
      <c r="I29" s="100" t="s">
        <v>599</v>
      </c>
      <c r="J29" s="100">
        <v>0</v>
      </c>
      <c r="K29" s="104">
        <v>45111</v>
      </c>
      <c r="L29" s="100" t="s">
        <v>600</v>
      </c>
      <c r="M29" s="106">
        <v>45111.870462962965</v>
      </c>
      <c r="N29" s="100">
        <v>4</v>
      </c>
      <c r="O29" s="100">
        <v>4</v>
      </c>
      <c r="P29" s="100">
        <v>1</v>
      </c>
      <c r="Q29" s="100">
        <v>1</v>
      </c>
    </row>
    <row r="30" spans="1:17" x14ac:dyDescent="0.3">
      <c r="A30" s="100">
        <v>18</v>
      </c>
      <c r="B30" s="103" t="s">
        <v>596</v>
      </c>
      <c r="C30" s="103" t="s">
        <v>597</v>
      </c>
      <c r="D30" s="103">
        <v>213711</v>
      </c>
      <c r="E30" s="103" t="s">
        <v>598</v>
      </c>
      <c r="F30" s="18">
        <v>11</v>
      </c>
      <c r="G30" s="101">
        <v>202045</v>
      </c>
      <c r="H30" s="103" t="s">
        <v>598</v>
      </c>
      <c r="I30" s="100" t="s">
        <v>601</v>
      </c>
      <c r="J30" s="100">
        <v>1</v>
      </c>
      <c r="K30" s="104">
        <v>45111</v>
      </c>
      <c r="L30" s="100" t="s">
        <v>602</v>
      </c>
      <c r="M30" s="106">
        <v>45111.877210648148</v>
      </c>
      <c r="N30" s="100">
        <v>4</v>
      </c>
      <c r="O30" s="100">
        <v>4</v>
      </c>
      <c r="P30" s="100">
        <v>2</v>
      </c>
      <c r="Q30" s="100">
        <v>2</v>
      </c>
    </row>
    <row r="31" spans="1:17" x14ac:dyDescent="0.3">
      <c r="A31" s="100">
        <v>20</v>
      </c>
      <c r="B31" s="103" t="s">
        <v>596</v>
      </c>
      <c r="C31" s="103" t="s">
        <v>597</v>
      </c>
      <c r="D31" s="103">
        <v>213711</v>
      </c>
      <c r="E31" s="103" t="s">
        <v>598</v>
      </c>
      <c r="F31" s="18">
        <v>11</v>
      </c>
      <c r="G31" s="101">
        <v>202045</v>
      </c>
      <c r="H31" s="103" t="s">
        <v>598</v>
      </c>
      <c r="I31" s="100" t="s">
        <v>606</v>
      </c>
      <c r="J31" s="100">
        <v>0</v>
      </c>
      <c r="K31" s="104">
        <v>45111</v>
      </c>
      <c r="L31" s="100" t="s">
        <v>607</v>
      </c>
      <c r="M31" s="106">
        <v>45111.889768518522</v>
      </c>
      <c r="N31" s="100">
        <v>4</v>
      </c>
      <c r="O31" s="100">
        <v>4</v>
      </c>
      <c r="P31" s="100">
        <v>3</v>
      </c>
      <c r="Q31" s="100">
        <v>4</v>
      </c>
    </row>
    <row r="32" spans="1:17" x14ac:dyDescent="0.3">
      <c r="A32" s="100">
        <v>158</v>
      </c>
      <c r="B32" s="103" t="s">
        <v>596</v>
      </c>
      <c r="C32" s="103" t="s">
        <v>597</v>
      </c>
      <c r="D32" s="103">
        <v>213711</v>
      </c>
      <c r="E32" s="103" t="s">
        <v>598</v>
      </c>
      <c r="F32" s="18">
        <v>11</v>
      </c>
      <c r="G32" s="101">
        <v>202045</v>
      </c>
      <c r="H32" s="103" t="s">
        <v>598</v>
      </c>
      <c r="I32" s="100" t="s">
        <v>886</v>
      </c>
      <c r="J32" s="100">
        <v>2</v>
      </c>
      <c r="K32" s="104">
        <v>45113</v>
      </c>
      <c r="L32" s="100" t="s">
        <v>887</v>
      </c>
      <c r="M32" s="106">
        <v>45113.401782407411</v>
      </c>
      <c r="N32" s="100">
        <v>4</v>
      </c>
      <c r="O32" s="100">
        <v>4</v>
      </c>
      <c r="P32" s="100">
        <v>4</v>
      </c>
      <c r="Q32" s="100">
        <v>142</v>
      </c>
    </row>
    <row r="33" spans="1:17" x14ac:dyDescent="0.3">
      <c r="A33" s="100">
        <v>159</v>
      </c>
      <c r="B33" s="103" t="s">
        <v>596</v>
      </c>
      <c r="C33" s="103" t="s">
        <v>597</v>
      </c>
      <c r="D33" s="103">
        <v>213711</v>
      </c>
      <c r="E33" s="103" t="s">
        <v>598</v>
      </c>
      <c r="F33" s="18">
        <v>11</v>
      </c>
      <c r="G33" s="101">
        <v>202045</v>
      </c>
      <c r="H33" s="103" t="s">
        <v>598</v>
      </c>
      <c r="I33" s="100" t="s">
        <v>888</v>
      </c>
      <c r="J33" s="100">
        <v>0</v>
      </c>
      <c r="K33" s="104">
        <v>45113</v>
      </c>
      <c r="L33" s="100" t="s">
        <v>889</v>
      </c>
      <c r="M33" s="106">
        <v>45113.40420138889</v>
      </c>
      <c r="N33" s="100">
        <v>4</v>
      </c>
      <c r="O33" s="100">
        <v>4</v>
      </c>
      <c r="P33" s="100">
        <v>5</v>
      </c>
      <c r="Q33" s="100">
        <v>143</v>
      </c>
    </row>
    <row r="34" spans="1:17" x14ac:dyDescent="0.3">
      <c r="A34" s="100">
        <v>168</v>
      </c>
      <c r="B34" s="103" t="s">
        <v>596</v>
      </c>
      <c r="C34" s="103" t="s">
        <v>597</v>
      </c>
      <c r="D34" s="103">
        <v>213711</v>
      </c>
      <c r="E34" s="103" t="s">
        <v>598</v>
      </c>
      <c r="F34" s="18">
        <v>11</v>
      </c>
      <c r="G34" s="101">
        <v>202045</v>
      </c>
      <c r="H34" s="103" t="s">
        <v>598</v>
      </c>
      <c r="I34" s="100" t="s">
        <v>908</v>
      </c>
      <c r="J34" s="100">
        <v>2</v>
      </c>
      <c r="K34" s="104">
        <v>45113</v>
      </c>
      <c r="L34" s="100" t="s">
        <v>909</v>
      </c>
      <c r="M34" s="106">
        <v>45113.568935185183</v>
      </c>
      <c r="N34" s="100">
        <v>4</v>
      </c>
      <c r="O34" s="100">
        <v>4</v>
      </c>
      <c r="P34" s="100">
        <v>6</v>
      </c>
      <c r="Q34" s="100">
        <v>152</v>
      </c>
    </row>
    <row r="35" spans="1:17" x14ac:dyDescent="0.3">
      <c r="A35" s="100">
        <v>176</v>
      </c>
      <c r="B35" s="103" t="s">
        <v>596</v>
      </c>
      <c r="C35" s="103" t="s">
        <v>597</v>
      </c>
      <c r="D35" s="103">
        <v>213711</v>
      </c>
      <c r="E35" s="103" t="s">
        <v>598</v>
      </c>
      <c r="F35" s="18">
        <v>11</v>
      </c>
      <c r="G35" s="101">
        <v>202045</v>
      </c>
      <c r="H35" s="103" t="s">
        <v>598</v>
      </c>
      <c r="I35" s="100" t="s">
        <v>924</v>
      </c>
      <c r="J35" s="100">
        <v>1</v>
      </c>
      <c r="K35" s="104">
        <v>45113</v>
      </c>
      <c r="L35" s="100" t="s">
        <v>925</v>
      </c>
      <c r="M35" s="106">
        <v>45113.578842592593</v>
      </c>
      <c r="N35" s="100">
        <v>4</v>
      </c>
      <c r="O35" s="100">
        <v>4</v>
      </c>
      <c r="P35" s="100">
        <v>7</v>
      </c>
      <c r="Q35" s="100">
        <v>160</v>
      </c>
    </row>
    <row r="36" spans="1:17" x14ac:dyDescent="0.3">
      <c r="A36" s="100">
        <v>185</v>
      </c>
      <c r="B36" s="103" t="s">
        <v>596</v>
      </c>
      <c r="C36" s="103" t="s">
        <v>597</v>
      </c>
      <c r="D36" s="103">
        <v>213711</v>
      </c>
      <c r="E36" s="103" t="s">
        <v>598</v>
      </c>
      <c r="F36" s="18">
        <v>11</v>
      </c>
      <c r="G36" s="101">
        <v>202045</v>
      </c>
      <c r="H36" s="103" t="s">
        <v>598</v>
      </c>
      <c r="I36" s="100" t="s">
        <v>943</v>
      </c>
      <c r="J36" s="100">
        <v>1</v>
      </c>
      <c r="K36" s="104">
        <v>45113</v>
      </c>
      <c r="L36" s="100" t="s">
        <v>944</v>
      </c>
      <c r="M36" s="106">
        <v>45113.684918981482</v>
      </c>
      <c r="N36" s="100">
        <v>4</v>
      </c>
      <c r="O36" s="100">
        <v>4</v>
      </c>
      <c r="P36" s="100">
        <v>8</v>
      </c>
      <c r="Q36" s="100">
        <v>169</v>
      </c>
    </row>
    <row r="37" spans="1:17" x14ac:dyDescent="0.3">
      <c r="A37" s="100">
        <v>19</v>
      </c>
      <c r="B37" s="103" t="s">
        <v>596</v>
      </c>
      <c r="C37" s="103" t="s">
        <v>597</v>
      </c>
      <c r="D37" s="103">
        <v>213711</v>
      </c>
      <c r="E37" s="103" t="s">
        <v>603</v>
      </c>
      <c r="F37" s="18">
        <v>43</v>
      </c>
      <c r="G37" s="101">
        <v>223373</v>
      </c>
      <c r="H37" s="103" t="s">
        <v>603</v>
      </c>
      <c r="I37" s="100" t="s">
        <v>604</v>
      </c>
      <c r="J37" s="100">
        <v>2</v>
      </c>
      <c r="K37" s="104">
        <v>45111</v>
      </c>
      <c r="L37" s="100" t="s">
        <v>605</v>
      </c>
      <c r="M37" s="106">
        <v>45111.881863425922</v>
      </c>
      <c r="N37" s="100">
        <v>5</v>
      </c>
      <c r="O37" s="100">
        <v>5</v>
      </c>
      <c r="P37" s="100">
        <v>1</v>
      </c>
      <c r="Q37" s="100">
        <v>3</v>
      </c>
    </row>
    <row r="38" spans="1:17" x14ac:dyDescent="0.3">
      <c r="A38" s="100">
        <v>23</v>
      </c>
      <c r="B38" s="103" t="s">
        <v>356</v>
      </c>
      <c r="C38" s="103" t="s">
        <v>357</v>
      </c>
      <c r="D38" s="103">
        <v>213777</v>
      </c>
      <c r="E38" s="103" t="s">
        <v>209</v>
      </c>
      <c r="F38" s="18">
        <v>12</v>
      </c>
      <c r="G38" s="101">
        <v>202053</v>
      </c>
      <c r="H38" s="103" t="s">
        <v>209</v>
      </c>
      <c r="I38" s="100" t="s">
        <v>362</v>
      </c>
      <c r="J38" s="100">
        <v>1</v>
      </c>
      <c r="K38" s="104">
        <v>45112</v>
      </c>
      <c r="L38" s="100" t="s">
        <v>363</v>
      </c>
      <c r="M38" s="106">
        <v>45112.28324074074</v>
      </c>
      <c r="N38" s="100">
        <v>6</v>
      </c>
      <c r="O38" s="100">
        <v>6</v>
      </c>
      <c r="P38" s="100">
        <v>1</v>
      </c>
      <c r="Q38" s="100">
        <v>3</v>
      </c>
    </row>
    <row r="39" spans="1:17" x14ac:dyDescent="0.3">
      <c r="A39" s="100">
        <v>24</v>
      </c>
      <c r="B39" s="103" t="s">
        <v>356</v>
      </c>
      <c r="C39" s="103" t="s">
        <v>357</v>
      </c>
      <c r="D39" s="103">
        <v>213777</v>
      </c>
      <c r="E39" s="103" t="s">
        <v>209</v>
      </c>
      <c r="F39" s="18">
        <v>12</v>
      </c>
      <c r="G39" s="101">
        <v>202053</v>
      </c>
      <c r="H39" s="103" t="s">
        <v>209</v>
      </c>
      <c r="I39" s="100" t="s">
        <v>364</v>
      </c>
      <c r="J39" s="100">
        <v>1</v>
      </c>
      <c r="K39" s="104">
        <v>45112</v>
      </c>
      <c r="L39" s="100" t="s">
        <v>365</v>
      </c>
      <c r="M39" s="106">
        <v>45112.284085648149</v>
      </c>
      <c r="N39" s="100">
        <v>6</v>
      </c>
      <c r="O39" s="100">
        <v>6</v>
      </c>
      <c r="P39" s="100">
        <v>2</v>
      </c>
      <c r="Q39" s="100">
        <v>4</v>
      </c>
    </row>
    <row r="40" spans="1:17" x14ac:dyDescent="0.3">
      <c r="A40" s="100">
        <v>25</v>
      </c>
      <c r="B40" s="103" t="s">
        <v>356</v>
      </c>
      <c r="C40" s="103" t="s">
        <v>357</v>
      </c>
      <c r="D40" s="103">
        <v>213777</v>
      </c>
      <c r="E40" s="103" t="s">
        <v>209</v>
      </c>
      <c r="F40" s="18">
        <v>12</v>
      </c>
      <c r="G40" s="101">
        <v>202053</v>
      </c>
      <c r="H40" s="103" t="s">
        <v>209</v>
      </c>
      <c r="I40" s="100" t="s">
        <v>366</v>
      </c>
      <c r="J40" s="100">
        <v>2</v>
      </c>
      <c r="K40" s="104">
        <v>45112</v>
      </c>
      <c r="L40" s="100" t="s">
        <v>367</v>
      </c>
      <c r="M40" s="106">
        <v>45112.284375000003</v>
      </c>
      <c r="N40" s="100">
        <v>6</v>
      </c>
      <c r="O40" s="100">
        <v>6</v>
      </c>
      <c r="P40" s="100">
        <v>3</v>
      </c>
      <c r="Q40" s="100">
        <v>5</v>
      </c>
    </row>
    <row r="41" spans="1:17" x14ac:dyDescent="0.3">
      <c r="A41" s="100">
        <v>26</v>
      </c>
      <c r="B41" s="103" t="s">
        <v>356</v>
      </c>
      <c r="C41" s="103" t="s">
        <v>357</v>
      </c>
      <c r="D41" s="103">
        <v>213777</v>
      </c>
      <c r="E41" s="103" t="s">
        <v>209</v>
      </c>
      <c r="F41" s="18">
        <v>12</v>
      </c>
      <c r="G41" s="101">
        <v>202053</v>
      </c>
      <c r="H41" s="103" t="s">
        <v>209</v>
      </c>
      <c r="I41" s="100" t="s">
        <v>368</v>
      </c>
      <c r="J41" s="100">
        <v>2</v>
      </c>
      <c r="K41" s="104">
        <v>45112</v>
      </c>
      <c r="L41" s="100" t="s">
        <v>369</v>
      </c>
      <c r="M41" s="106">
        <v>45112.284571759257</v>
      </c>
      <c r="N41" s="100">
        <v>6</v>
      </c>
      <c r="O41" s="100">
        <v>6</v>
      </c>
      <c r="P41" s="100">
        <v>4</v>
      </c>
      <c r="Q41" s="100">
        <v>6</v>
      </c>
    </row>
    <row r="42" spans="1:17" x14ac:dyDescent="0.3">
      <c r="A42" s="100">
        <v>27</v>
      </c>
      <c r="B42" s="103" t="s">
        <v>356</v>
      </c>
      <c r="C42" s="103" t="s">
        <v>357</v>
      </c>
      <c r="D42" s="103">
        <v>213777</v>
      </c>
      <c r="E42" s="103" t="s">
        <v>209</v>
      </c>
      <c r="F42" s="18">
        <v>12</v>
      </c>
      <c r="G42" s="101">
        <v>202053</v>
      </c>
      <c r="H42" s="103" t="s">
        <v>209</v>
      </c>
      <c r="I42" s="100" t="s">
        <v>370</v>
      </c>
      <c r="J42" s="100">
        <v>1</v>
      </c>
      <c r="K42" s="104">
        <v>45112</v>
      </c>
      <c r="L42" s="100" t="s">
        <v>371</v>
      </c>
      <c r="M42" s="106">
        <v>45112.284826388888</v>
      </c>
      <c r="N42" s="100">
        <v>6</v>
      </c>
      <c r="O42" s="100">
        <v>6</v>
      </c>
      <c r="P42" s="100">
        <v>5</v>
      </c>
      <c r="Q42" s="100">
        <v>7</v>
      </c>
    </row>
    <row r="43" spans="1:17" x14ac:dyDescent="0.3">
      <c r="A43" s="100">
        <v>28</v>
      </c>
      <c r="B43" s="103" t="s">
        <v>356</v>
      </c>
      <c r="C43" s="103" t="s">
        <v>357</v>
      </c>
      <c r="D43" s="103">
        <v>213777</v>
      </c>
      <c r="E43" s="103" t="s">
        <v>209</v>
      </c>
      <c r="F43" s="18">
        <v>12</v>
      </c>
      <c r="G43" s="101">
        <v>202053</v>
      </c>
      <c r="H43" s="103" t="s">
        <v>209</v>
      </c>
      <c r="I43" s="100" t="s">
        <v>372</v>
      </c>
      <c r="J43" s="100">
        <v>1</v>
      </c>
      <c r="K43" s="104">
        <v>45112</v>
      </c>
      <c r="L43" s="100" t="s">
        <v>373</v>
      </c>
      <c r="M43" s="106">
        <v>45112.285185185188</v>
      </c>
      <c r="N43" s="100">
        <v>6</v>
      </c>
      <c r="O43" s="100">
        <v>6</v>
      </c>
      <c r="P43" s="100">
        <v>6</v>
      </c>
      <c r="Q43" s="100">
        <v>8</v>
      </c>
    </row>
    <row r="44" spans="1:17" x14ac:dyDescent="0.3">
      <c r="A44" s="100">
        <v>29</v>
      </c>
      <c r="B44" s="103" t="s">
        <v>356</v>
      </c>
      <c r="C44" s="103" t="s">
        <v>357</v>
      </c>
      <c r="D44" s="103">
        <v>213777</v>
      </c>
      <c r="E44" s="103" t="s">
        <v>209</v>
      </c>
      <c r="F44" s="18">
        <v>12</v>
      </c>
      <c r="G44" s="101">
        <v>202053</v>
      </c>
      <c r="H44" s="103" t="s">
        <v>209</v>
      </c>
      <c r="I44" s="100" t="s">
        <v>374</v>
      </c>
      <c r="J44" s="100">
        <v>2</v>
      </c>
      <c r="K44" s="104">
        <v>45112</v>
      </c>
      <c r="L44" s="100" t="s">
        <v>375</v>
      </c>
      <c r="M44" s="106">
        <v>45112.285590277781</v>
      </c>
      <c r="N44" s="100">
        <v>6</v>
      </c>
      <c r="O44" s="100">
        <v>6</v>
      </c>
      <c r="P44" s="100">
        <v>7</v>
      </c>
      <c r="Q44" s="100">
        <v>9</v>
      </c>
    </row>
    <row r="45" spans="1:17" x14ac:dyDescent="0.3">
      <c r="A45" s="100">
        <v>30</v>
      </c>
      <c r="B45" s="103" t="s">
        <v>356</v>
      </c>
      <c r="C45" s="103" t="s">
        <v>357</v>
      </c>
      <c r="D45" s="103">
        <v>213777</v>
      </c>
      <c r="E45" s="103" t="s">
        <v>209</v>
      </c>
      <c r="F45" s="18">
        <v>12</v>
      </c>
      <c r="G45" s="101">
        <v>202053</v>
      </c>
      <c r="H45" s="103" t="s">
        <v>209</v>
      </c>
      <c r="I45" s="100" t="s">
        <v>376</v>
      </c>
      <c r="J45" s="100">
        <v>1</v>
      </c>
      <c r="K45" s="104">
        <v>45112</v>
      </c>
      <c r="L45" s="100" t="s">
        <v>377</v>
      </c>
      <c r="M45" s="106">
        <v>45112.285937499997</v>
      </c>
      <c r="N45" s="100">
        <v>6</v>
      </c>
      <c r="O45" s="100">
        <v>6</v>
      </c>
      <c r="P45" s="100">
        <v>8</v>
      </c>
      <c r="Q45" s="100">
        <v>10</v>
      </c>
    </row>
    <row r="46" spans="1:17" x14ac:dyDescent="0.3">
      <c r="A46" s="100">
        <v>31</v>
      </c>
      <c r="B46" s="103" t="s">
        <v>356</v>
      </c>
      <c r="C46" s="103" t="s">
        <v>357</v>
      </c>
      <c r="D46" s="103">
        <v>213777</v>
      </c>
      <c r="E46" s="103" t="s">
        <v>209</v>
      </c>
      <c r="F46" s="18">
        <v>12</v>
      </c>
      <c r="G46" s="101">
        <v>202053</v>
      </c>
      <c r="H46" s="103" t="s">
        <v>209</v>
      </c>
      <c r="I46" s="100" t="s">
        <v>378</v>
      </c>
      <c r="J46" s="100">
        <v>1</v>
      </c>
      <c r="K46" s="104">
        <v>45112</v>
      </c>
      <c r="L46" s="100" t="s">
        <v>379</v>
      </c>
      <c r="M46" s="106">
        <v>45112.286643518521</v>
      </c>
      <c r="N46" s="100">
        <v>6</v>
      </c>
      <c r="O46" s="100">
        <v>6</v>
      </c>
      <c r="P46" s="100">
        <v>9</v>
      </c>
      <c r="Q46" s="100">
        <v>11</v>
      </c>
    </row>
    <row r="47" spans="1:17" x14ac:dyDescent="0.3">
      <c r="A47" s="100">
        <v>32</v>
      </c>
      <c r="B47" s="103" t="s">
        <v>356</v>
      </c>
      <c r="C47" s="103" t="s">
        <v>357</v>
      </c>
      <c r="D47" s="103">
        <v>213777</v>
      </c>
      <c r="E47" s="103" t="s">
        <v>209</v>
      </c>
      <c r="F47" s="18">
        <v>12</v>
      </c>
      <c r="G47" s="101">
        <v>202053</v>
      </c>
      <c r="H47" s="103" t="s">
        <v>209</v>
      </c>
      <c r="I47" s="100" t="s">
        <v>380</v>
      </c>
      <c r="J47" s="100">
        <v>1</v>
      </c>
      <c r="K47" s="104">
        <v>45112</v>
      </c>
      <c r="L47" s="100" t="s">
        <v>381</v>
      </c>
      <c r="M47" s="106">
        <v>45112.286666666667</v>
      </c>
      <c r="N47" s="100">
        <v>6</v>
      </c>
      <c r="O47" s="100">
        <v>6</v>
      </c>
      <c r="P47" s="100">
        <v>10</v>
      </c>
      <c r="Q47" s="100">
        <v>12</v>
      </c>
    </row>
    <row r="48" spans="1:17" x14ac:dyDescent="0.3">
      <c r="A48" s="100">
        <v>33</v>
      </c>
      <c r="B48" s="103" t="s">
        <v>356</v>
      </c>
      <c r="C48" s="103" t="s">
        <v>357</v>
      </c>
      <c r="D48" s="103">
        <v>213777</v>
      </c>
      <c r="E48" s="103" t="s">
        <v>209</v>
      </c>
      <c r="F48" s="18">
        <v>12</v>
      </c>
      <c r="G48" s="101">
        <v>202053</v>
      </c>
      <c r="H48" s="103" t="s">
        <v>209</v>
      </c>
      <c r="I48" s="100" t="s">
        <v>382</v>
      </c>
      <c r="J48" s="100">
        <v>2</v>
      </c>
      <c r="K48" s="104">
        <v>45112</v>
      </c>
      <c r="L48" s="100" t="s">
        <v>383</v>
      </c>
      <c r="M48" s="106">
        <v>45112.28769675926</v>
      </c>
      <c r="N48" s="100">
        <v>6</v>
      </c>
      <c r="O48" s="100">
        <v>6</v>
      </c>
      <c r="P48" s="100">
        <v>11</v>
      </c>
      <c r="Q48" s="100">
        <v>13</v>
      </c>
    </row>
    <row r="49" spans="1:17" x14ac:dyDescent="0.3">
      <c r="A49" s="100">
        <v>34</v>
      </c>
      <c r="B49" s="103" t="s">
        <v>356</v>
      </c>
      <c r="C49" s="103" t="s">
        <v>357</v>
      </c>
      <c r="D49" s="103">
        <v>213777</v>
      </c>
      <c r="E49" s="103" t="s">
        <v>209</v>
      </c>
      <c r="F49" s="18">
        <v>12</v>
      </c>
      <c r="G49" s="101">
        <v>202053</v>
      </c>
      <c r="H49" s="103" t="s">
        <v>209</v>
      </c>
      <c r="I49" s="100" t="s">
        <v>384</v>
      </c>
      <c r="J49" s="100">
        <v>0</v>
      </c>
      <c r="K49" s="104">
        <v>45112</v>
      </c>
      <c r="L49" s="100" t="s">
        <v>385</v>
      </c>
      <c r="M49" s="106">
        <v>45112.288090277776</v>
      </c>
      <c r="N49" s="100">
        <v>6</v>
      </c>
      <c r="O49" s="100">
        <v>6</v>
      </c>
      <c r="P49" s="100">
        <v>12</v>
      </c>
      <c r="Q49" s="100">
        <v>14</v>
      </c>
    </row>
    <row r="50" spans="1:17" x14ac:dyDescent="0.3">
      <c r="A50" s="100">
        <v>35</v>
      </c>
      <c r="B50" s="103" t="s">
        <v>356</v>
      </c>
      <c r="C50" s="103" t="s">
        <v>357</v>
      </c>
      <c r="D50" s="103">
        <v>213777</v>
      </c>
      <c r="E50" s="103" t="s">
        <v>209</v>
      </c>
      <c r="F50" s="18">
        <v>12</v>
      </c>
      <c r="G50" s="101">
        <v>202053</v>
      </c>
      <c r="H50" s="103" t="s">
        <v>209</v>
      </c>
      <c r="I50" s="100" t="s">
        <v>386</v>
      </c>
      <c r="J50" s="100">
        <v>1</v>
      </c>
      <c r="K50" s="104">
        <v>45112</v>
      </c>
      <c r="L50" s="100" t="s">
        <v>387</v>
      </c>
      <c r="M50" s="106">
        <v>45112.292638888888</v>
      </c>
      <c r="N50" s="100">
        <v>6</v>
      </c>
      <c r="O50" s="100">
        <v>6</v>
      </c>
      <c r="P50" s="100">
        <v>13</v>
      </c>
      <c r="Q50" s="100">
        <v>15</v>
      </c>
    </row>
    <row r="51" spans="1:17" x14ac:dyDescent="0.3">
      <c r="A51" s="100">
        <v>37</v>
      </c>
      <c r="B51" s="103" t="s">
        <v>356</v>
      </c>
      <c r="C51" s="103" t="s">
        <v>357</v>
      </c>
      <c r="D51" s="103">
        <v>213777</v>
      </c>
      <c r="E51" s="103" t="s">
        <v>209</v>
      </c>
      <c r="F51" s="18">
        <v>12</v>
      </c>
      <c r="G51" s="101">
        <v>202053</v>
      </c>
      <c r="H51" s="103" t="s">
        <v>209</v>
      </c>
      <c r="I51" s="100" t="s">
        <v>390</v>
      </c>
      <c r="J51" s="100">
        <v>3</v>
      </c>
      <c r="K51" s="104">
        <v>45112</v>
      </c>
      <c r="L51" s="100" t="s">
        <v>391</v>
      </c>
      <c r="M51" s="106">
        <v>45112.323784722219</v>
      </c>
      <c r="N51" s="100">
        <v>6</v>
      </c>
      <c r="O51" s="100">
        <v>6</v>
      </c>
      <c r="P51" s="100">
        <v>14</v>
      </c>
      <c r="Q51" s="100">
        <v>17</v>
      </c>
    </row>
    <row r="52" spans="1:17" x14ac:dyDescent="0.3">
      <c r="A52" s="100">
        <v>38</v>
      </c>
      <c r="B52" s="103" t="s">
        <v>356</v>
      </c>
      <c r="C52" s="103" t="s">
        <v>357</v>
      </c>
      <c r="D52" s="103">
        <v>213777</v>
      </c>
      <c r="E52" s="103" t="s">
        <v>209</v>
      </c>
      <c r="F52" s="18">
        <v>12</v>
      </c>
      <c r="G52" s="101">
        <v>202053</v>
      </c>
      <c r="H52" s="103" t="s">
        <v>209</v>
      </c>
      <c r="I52" s="100" t="s">
        <v>392</v>
      </c>
      <c r="J52" s="100">
        <v>1</v>
      </c>
      <c r="K52" s="104">
        <v>45112</v>
      </c>
      <c r="L52" s="100" t="s">
        <v>393</v>
      </c>
      <c r="M52" s="106">
        <v>45112.323969907404</v>
      </c>
      <c r="N52" s="100">
        <v>6</v>
      </c>
      <c r="O52" s="100">
        <v>6</v>
      </c>
      <c r="P52" s="100">
        <v>15</v>
      </c>
      <c r="Q52" s="100">
        <v>18</v>
      </c>
    </row>
    <row r="53" spans="1:17" x14ac:dyDescent="0.3">
      <c r="A53" s="100">
        <v>39</v>
      </c>
      <c r="B53" s="103" t="s">
        <v>356</v>
      </c>
      <c r="C53" s="103" t="s">
        <v>357</v>
      </c>
      <c r="D53" s="103">
        <v>213777</v>
      </c>
      <c r="E53" s="103" t="s">
        <v>209</v>
      </c>
      <c r="F53" s="18">
        <v>12</v>
      </c>
      <c r="G53" s="101">
        <v>202053</v>
      </c>
      <c r="H53" s="103" t="s">
        <v>209</v>
      </c>
      <c r="I53" s="100" t="s">
        <v>394</v>
      </c>
      <c r="J53" s="100">
        <v>3</v>
      </c>
      <c r="K53" s="104">
        <v>45112</v>
      </c>
      <c r="L53" s="100" t="s">
        <v>395</v>
      </c>
      <c r="M53" s="106">
        <v>45112.324155092596</v>
      </c>
      <c r="N53" s="100">
        <v>6</v>
      </c>
      <c r="O53" s="100">
        <v>6</v>
      </c>
      <c r="P53" s="100">
        <v>16</v>
      </c>
      <c r="Q53" s="100">
        <v>19</v>
      </c>
    </row>
    <row r="54" spans="1:17" x14ac:dyDescent="0.3">
      <c r="A54" s="100">
        <v>40</v>
      </c>
      <c r="B54" s="103" t="s">
        <v>356</v>
      </c>
      <c r="C54" s="103" t="s">
        <v>357</v>
      </c>
      <c r="D54" s="103">
        <v>213777</v>
      </c>
      <c r="E54" s="103" t="s">
        <v>209</v>
      </c>
      <c r="F54" s="18">
        <v>12</v>
      </c>
      <c r="G54" s="101">
        <v>202053</v>
      </c>
      <c r="H54" s="103" t="s">
        <v>209</v>
      </c>
      <c r="I54" s="100" t="s">
        <v>396</v>
      </c>
      <c r="J54" s="100">
        <v>0</v>
      </c>
      <c r="K54" s="104">
        <v>45112</v>
      </c>
      <c r="L54" s="100" t="s">
        <v>397</v>
      </c>
      <c r="M54" s="106">
        <v>45112.324340277781</v>
      </c>
      <c r="N54" s="100">
        <v>6</v>
      </c>
      <c r="O54" s="100">
        <v>6</v>
      </c>
      <c r="P54" s="100">
        <v>17</v>
      </c>
      <c r="Q54" s="100">
        <v>20</v>
      </c>
    </row>
    <row r="55" spans="1:17" x14ac:dyDescent="0.3">
      <c r="A55" s="100">
        <v>41</v>
      </c>
      <c r="B55" s="103" t="s">
        <v>356</v>
      </c>
      <c r="C55" s="103" t="s">
        <v>357</v>
      </c>
      <c r="D55" s="103">
        <v>213777</v>
      </c>
      <c r="E55" s="103" t="s">
        <v>209</v>
      </c>
      <c r="F55" s="18">
        <v>12</v>
      </c>
      <c r="G55" s="101">
        <v>202053</v>
      </c>
      <c r="H55" s="103" t="s">
        <v>209</v>
      </c>
      <c r="I55" s="100" t="s">
        <v>398</v>
      </c>
      <c r="J55" s="100">
        <v>2</v>
      </c>
      <c r="K55" s="104">
        <v>45112</v>
      </c>
      <c r="L55" s="100" t="s">
        <v>399</v>
      </c>
      <c r="M55" s="106">
        <v>45112.324513888889</v>
      </c>
      <c r="N55" s="100">
        <v>6</v>
      </c>
      <c r="O55" s="100">
        <v>6</v>
      </c>
      <c r="P55" s="100">
        <v>18</v>
      </c>
      <c r="Q55" s="100">
        <v>21</v>
      </c>
    </row>
    <row r="56" spans="1:17" x14ac:dyDescent="0.3">
      <c r="A56" s="100">
        <v>42</v>
      </c>
      <c r="B56" s="103" t="s">
        <v>356</v>
      </c>
      <c r="C56" s="103" t="s">
        <v>357</v>
      </c>
      <c r="D56" s="103">
        <v>213777</v>
      </c>
      <c r="E56" s="103" t="s">
        <v>209</v>
      </c>
      <c r="F56" s="18">
        <v>12</v>
      </c>
      <c r="G56" s="101">
        <v>202053</v>
      </c>
      <c r="H56" s="103" t="s">
        <v>209</v>
      </c>
      <c r="I56" s="100" t="s">
        <v>400</v>
      </c>
      <c r="J56" s="100">
        <v>2</v>
      </c>
      <c r="K56" s="104">
        <v>45112</v>
      </c>
      <c r="L56" s="100" t="s">
        <v>401</v>
      </c>
      <c r="M56" s="106">
        <v>45112.325011574074</v>
      </c>
      <c r="N56" s="100">
        <v>6</v>
      </c>
      <c r="O56" s="100">
        <v>6</v>
      </c>
      <c r="P56" s="100">
        <v>19</v>
      </c>
      <c r="Q56" s="100">
        <v>22</v>
      </c>
    </row>
    <row r="57" spans="1:17" x14ac:dyDescent="0.3">
      <c r="A57" s="100">
        <v>43</v>
      </c>
      <c r="B57" s="103" t="s">
        <v>356</v>
      </c>
      <c r="C57" s="103" t="s">
        <v>357</v>
      </c>
      <c r="D57" s="103">
        <v>213777</v>
      </c>
      <c r="E57" s="103" t="s">
        <v>209</v>
      </c>
      <c r="F57" s="18">
        <v>12</v>
      </c>
      <c r="G57" s="101">
        <v>202053</v>
      </c>
      <c r="H57" s="103" t="s">
        <v>209</v>
      </c>
      <c r="I57" s="100" t="s">
        <v>402</v>
      </c>
      <c r="J57" s="100">
        <v>1</v>
      </c>
      <c r="K57" s="104">
        <v>45112</v>
      </c>
      <c r="L57" s="100" t="s">
        <v>403</v>
      </c>
      <c r="M57" s="106">
        <v>45112.32503472222</v>
      </c>
      <c r="N57" s="100">
        <v>6</v>
      </c>
      <c r="O57" s="100">
        <v>6</v>
      </c>
      <c r="P57" s="100">
        <v>20</v>
      </c>
      <c r="Q57" s="100">
        <v>23</v>
      </c>
    </row>
    <row r="58" spans="1:17" x14ac:dyDescent="0.3">
      <c r="A58" s="100">
        <v>44</v>
      </c>
      <c r="B58" s="103" t="s">
        <v>356</v>
      </c>
      <c r="C58" s="103" t="s">
        <v>357</v>
      </c>
      <c r="D58" s="103">
        <v>213777</v>
      </c>
      <c r="E58" s="103" t="s">
        <v>209</v>
      </c>
      <c r="F58" s="18">
        <v>12</v>
      </c>
      <c r="G58" s="101">
        <v>202053</v>
      </c>
      <c r="H58" s="103" t="s">
        <v>209</v>
      </c>
      <c r="I58" s="100" t="s">
        <v>404</v>
      </c>
      <c r="J58" s="100">
        <v>1</v>
      </c>
      <c r="K58" s="104">
        <v>45112</v>
      </c>
      <c r="L58" s="100" t="s">
        <v>405</v>
      </c>
      <c r="M58" s="106">
        <v>45112.325300925928</v>
      </c>
      <c r="N58" s="100">
        <v>6</v>
      </c>
      <c r="O58" s="100">
        <v>6</v>
      </c>
      <c r="P58" s="100">
        <v>21</v>
      </c>
      <c r="Q58" s="100">
        <v>24</v>
      </c>
    </row>
    <row r="59" spans="1:17" x14ac:dyDescent="0.3">
      <c r="A59" s="100">
        <v>45</v>
      </c>
      <c r="B59" s="103" t="s">
        <v>356</v>
      </c>
      <c r="C59" s="103" t="s">
        <v>357</v>
      </c>
      <c r="D59" s="103">
        <v>213777</v>
      </c>
      <c r="E59" s="103" t="s">
        <v>209</v>
      </c>
      <c r="F59" s="18">
        <v>12</v>
      </c>
      <c r="G59" s="101">
        <v>202053</v>
      </c>
      <c r="H59" s="103" t="s">
        <v>209</v>
      </c>
      <c r="I59" s="100" t="s">
        <v>406</v>
      </c>
      <c r="J59" s="100">
        <v>1</v>
      </c>
      <c r="K59" s="104">
        <v>45112</v>
      </c>
      <c r="L59" s="100" t="s">
        <v>407</v>
      </c>
      <c r="M59" s="106">
        <v>45112.325324074074</v>
      </c>
      <c r="N59" s="100">
        <v>6</v>
      </c>
      <c r="O59" s="100">
        <v>6</v>
      </c>
      <c r="P59" s="100">
        <v>22</v>
      </c>
      <c r="Q59" s="100">
        <v>25</v>
      </c>
    </row>
    <row r="60" spans="1:17" x14ac:dyDescent="0.3">
      <c r="A60" s="100">
        <v>46</v>
      </c>
      <c r="B60" s="103" t="s">
        <v>356</v>
      </c>
      <c r="C60" s="103" t="s">
        <v>357</v>
      </c>
      <c r="D60" s="103">
        <v>213777</v>
      </c>
      <c r="E60" s="103" t="s">
        <v>209</v>
      </c>
      <c r="F60" s="18">
        <v>12</v>
      </c>
      <c r="G60" s="101">
        <v>202053</v>
      </c>
      <c r="H60" s="103" t="s">
        <v>209</v>
      </c>
      <c r="I60" s="100" t="s">
        <v>408</v>
      </c>
      <c r="J60" s="100">
        <v>1</v>
      </c>
      <c r="K60" s="104">
        <v>45112</v>
      </c>
      <c r="L60" s="100" t="s">
        <v>409</v>
      </c>
      <c r="M60" s="106">
        <v>45112.326018518521</v>
      </c>
      <c r="N60" s="100">
        <v>6</v>
      </c>
      <c r="O60" s="100">
        <v>6</v>
      </c>
      <c r="P60" s="100">
        <v>23</v>
      </c>
      <c r="Q60" s="100">
        <v>26</v>
      </c>
    </row>
    <row r="61" spans="1:17" x14ac:dyDescent="0.3">
      <c r="A61" s="100">
        <v>47</v>
      </c>
      <c r="B61" s="103" t="s">
        <v>356</v>
      </c>
      <c r="C61" s="103" t="s">
        <v>357</v>
      </c>
      <c r="D61" s="103">
        <v>213777</v>
      </c>
      <c r="E61" s="103" t="s">
        <v>209</v>
      </c>
      <c r="F61" s="18">
        <v>12</v>
      </c>
      <c r="G61" s="101">
        <v>202053</v>
      </c>
      <c r="H61" s="103" t="s">
        <v>209</v>
      </c>
      <c r="I61" s="100" t="s">
        <v>410</v>
      </c>
      <c r="J61" s="100">
        <v>0</v>
      </c>
      <c r="K61" s="104">
        <v>45112</v>
      </c>
      <c r="L61" s="100" t="s">
        <v>411</v>
      </c>
      <c r="M61" s="106">
        <v>45112.327881944446</v>
      </c>
      <c r="N61" s="100">
        <v>6</v>
      </c>
      <c r="O61" s="100">
        <v>6</v>
      </c>
      <c r="P61" s="100">
        <v>24</v>
      </c>
      <c r="Q61" s="100">
        <v>27</v>
      </c>
    </row>
    <row r="62" spans="1:17" x14ac:dyDescent="0.3">
      <c r="A62" s="100">
        <v>48</v>
      </c>
      <c r="B62" s="103" t="s">
        <v>356</v>
      </c>
      <c r="C62" s="103" t="s">
        <v>357</v>
      </c>
      <c r="D62" s="103">
        <v>213777</v>
      </c>
      <c r="E62" s="103" t="s">
        <v>209</v>
      </c>
      <c r="F62" s="18">
        <v>12</v>
      </c>
      <c r="G62" s="101">
        <v>202053</v>
      </c>
      <c r="H62" s="103" t="s">
        <v>209</v>
      </c>
      <c r="I62" s="100" t="s">
        <v>412</v>
      </c>
      <c r="J62" s="100">
        <v>2</v>
      </c>
      <c r="K62" s="104">
        <v>45112</v>
      </c>
      <c r="L62" s="100" t="s">
        <v>413</v>
      </c>
      <c r="M62" s="106">
        <v>45112.328287037039</v>
      </c>
      <c r="N62" s="100">
        <v>6</v>
      </c>
      <c r="O62" s="100">
        <v>6</v>
      </c>
      <c r="P62" s="100">
        <v>25</v>
      </c>
      <c r="Q62" s="100">
        <v>28</v>
      </c>
    </row>
    <row r="63" spans="1:17" x14ac:dyDescent="0.3">
      <c r="A63" s="100">
        <v>49</v>
      </c>
      <c r="B63" s="103" t="s">
        <v>356</v>
      </c>
      <c r="C63" s="103" t="s">
        <v>357</v>
      </c>
      <c r="D63" s="103">
        <v>213777</v>
      </c>
      <c r="E63" s="103" t="s">
        <v>209</v>
      </c>
      <c r="F63" s="18">
        <v>12</v>
      </c>
      <c r="G63" s="101">
        <v>202053</v>
      </c>
      <c r="H63" s="103" t="s">
        <v>209</v>
      </c>
      <c r="I63" s="100" t="s">
        <v>414</v>
      </c>
      <c r="J63" s="100">
        <v>1</v>
      </c>
      <c r="K63" s="104">
        <v>45112</v>
      </c>
      <c r="L63" s="100" t="s">
        <v>415</v>
      </c>
      <c r="M63" s="106">
        <v>45112.328796296293</v>
      </c>
      <c r="N63" s="100">
        <v>6</v>
      </c>
      <c r="O63" s="100">
        <v>6</v>
      </c>
      <c r="P63" s="100">
        <v>26</v>
      </c>
      <c r="Q63" s="100">
        <v>29</v>
      </c>
    </row>
    <row r="64" spans="1:17" x14ac:dyDescent="0.3">
      <c r="A64" s="100">
        <v>50</v>
      </c>
      <c r="B64" s="103" t="s">
        <v>356</v>
      </c>
      <c r="C64" s="103" t="s">
        <v>357</v>
      </c>
      <c r="D64" s="103">
        <v>213777</v>
      </c>
      <c r="E64" s="103" t="s">
        <v>209</v>
      </c>
      <c r="F64" s="18">
        <v>12</v>
      </c>
      <c r="G64" s="101">
        <v>202053</v>
      </c>
      <c r="H64" s="103" t="s">
        <v>209</v>
      </c>
      <c r="I64" s="100" t="s">
        <v>416</v>
      </c>
      <c r="J64" s="100">
        <v>1</v>
      </c>
      <c r="K64" s="104">
        <v>45112</v>
      </c>
      <c r="L64" s="100" t="s">
        <v>417</v>
      </c>
      <c r="M64" s="106">
        <v>45112.329236111109</v>
      </c>
      <c r="N64" s="100">
        <v>6</v>
      </c>
      <c r="O64" s="100">
        <v>6</v>
      </c>
      <c r="P64" s="100">
        <v>27</v>
      </c>
      <c r="Q64" s="100">
        <v>30</v>
      </c>
    </row>
    <row r="65" spans="1:17" x14ac:dyDescent="0.3">
      <c r="A65" s="100">
        <v>51</v>
      </c>
      <c r="B65" s="103" t="s">
        <v>356</v>
      </c>
      <c r="C65" s="103" t="s">
        <v>357</v>
      </c>
      <c r="D65" s="103">
        <v>213777</v>
      </c>
      <c r="E65" s="103" t="s">
        <v>209</v>
      </c>
      <c r="F65" s="18">
        <v>12</v>
      </c>
      <c r="G65" s="101">
        <v>202053</v>
      </c>
      <c r="H65" s="103" t="s">
        <v>209</v>
      </c>
      <c r="I65" s="100" t="s">
        <v>418</v>
      </c>
      <c r="J65" s="100">
        <v>0</v>
      </c>
      <c r="K65" s="104">
        <v>45112</v>
      </c>
      <c r="L65" s="100" t="s">
        <v>419</v>
      </c>
      <c r="M65" s="106">
        <v>45112.329502314817</v>
      </c>
      <c r="N65" s="100">
        <v>6</v>
      </c>
      <c r="O65" s="100">
        <v>6</v>
      </c>
      <c r="P65" s="100">
        <v>28</v>
      </c>
      <c r="Q65" s="100">
        <v>31</v>
      </c>
    </row>
    <row r="66" spans="1:17" x14ac:dyDescent="0.3">
      <c r="A66" s="100">
        <v>52</v>
      </c>
      <c r="B66" s="103" t="s">
        <v>356</v>
      </c>
      <c r="C66" s="103" t="s">
        <v>357</v>
      </c>
      <c r="D66" s="103">
        <v>213777</v>
      </c>
      <c r="E66" s="103" t="s">
        <v>209</v>
      </c>
      <c r="F66" s="18">
        <v>12</v>
      </c>
      <c r="G66" s="101">
        <v>202053</v>
      </c>
      <c r="H66" s="103" t="s">
        <v>209</v>
      </c>
      <c r="I66" s="100" t="s">
        <v>420</v>
      </c>
      <c r="J66" s="100">
        <v>1</v>
      </c>
      <c r="K66" s="104">
        <v>45112</v>
      </c>
      <c r="L66" s="100" t="s">
        <v>421</v>
      </c>
      <c r="M66" s="106">
        <v>45112.329965277779</v>
      </c>
      <c r="N66" s="100">
        <v>6</v>
      </c>
      <c r="O66" s="100">
        <v>6</v>
      </c>
      <c r="P66" s="100">
        <v>29</v>
      </c>
      <c r="Q66" s="100">
        <v>32</v>
      </c>
    </row>
    <row r="67" spans="1:17" x14ac:dyDescent="0.3">
      <c r="A67" s="100">
        <v>53</v>
      </c>
      <c r="B67" s="103" t="s">
        <v>356</v>
      </c>
      <c r="C67" s="103" t="s">
        <v>357</v>
      </c>
      <c r="D67" s="103">
        <v>213777</v>
      </c>
      <c r="E67" s="103" t="s">
        <v>209</v>
      </c>
      <c r="F67" s="18">
        <v>12</v>
      </c>
      <c r="G67" s="101">
        <v>202053</v>
      </c>
      <c r="H67" s="103" t="s">
        <v>209</v>
      </c>
      <c r="I67" s="100" t="s">
        <v>422</v>
      </c>
      <c r="J67" s="100">
        <v>2</v>
      </c>
      <c r="K67" s="104">
        <v>45112</v>
      </c>
      <c r="L67" s="100" t="s">
        <v>423</v>
      </c>
      <c r="M67" s="106">
        <v>45112.331354166665</v>
      </c>
      <c r="N67" s="100">
        <v>6</v>
      </c>
      <c r="O67" s="100">
        <v>6</v>
      </c>
      <c r="P67" s="100">
        <v>30</v>
      </c>
      <c r="Q67" s="100">
        <v>33</v>
      </c>
    </row>
    <row r="68" spans="1:17" x14ac:dyDescent="0.3">
      <c r="A68" s="100">
        <v>54</v>
      </c>
      <c r="B68" s="103" t="s">
        <v>356</v>
      </c>
      <c r="C68" s="103" t="s">
        <v>357</v>
      </c>
      <c r="D68" s="103">
        <v>213777</v>
      </c>
      <c r="E68" s="103" t="s">
        <v>209</v>
      </c>
      <c r="F68" s="18">
        <v>12</v>
      </c>
      <c r="G68" s="101">
        <v>202053</v>
      </c>
      <c r="H68" s="103" t="s">
        <v>209</v>
      </c>
      <c r="I68" s="100" t="s">
        <v>424</v>
      </c>
      <c r="J68" s="100">
        <v>1</v>
      </c>
      <c r="K68" s="104">
        <v>45112</v>
      </c>
      <c r="L68" s="100" t="s">
        <v>425</v>
      </c>
      <c r="M68" s="106">
        <v>45112.332430555558</v>
      </c>
      <c r="N68" s="100">
        <v>6</v>
      </c>
      <c r="O68" s="100">
        <v>6</v>
      </c>
      <c r="P68" s="100">
        <v>31</v>
      </c>
      <c r="Q68" s="100">
        <v>34</v>
      </c>
    </row>
    <row r="69" spans="1:17" x14ac:dyDescent="0.3">
      <c r="A69" s="100">
        <v>55</v>
      </c>
      <c r="B69" s="103" t="s">
        <v>356</v>
      </c>
      <c r="C69" s="103" t="s">
        <v>357</v>
      </c>
      <c r="D69" s="103">
        <v>213777</v>
      </c>
      <c r="E69" s="103" t="s">
        <v>209</v>
      </c>
      <c r="F69" s="18">
        <v>12</v>
      </c>
      <c r="G69" s="101">
        <v>202053</v>
      </c>
      <c r="H69" s="103" t="s">
        <v>209</v>
      </c>
      <c r="I69" s="100" t="s">
        <v>426</v>
      </c>
      <c r="J69" s="100">
        <v>1</v>
      </c>
      <c r="K69" s="104">
        <v>45112</v>
      </c>
      <c r="L69" s="100" t="s">
        <v>427</v>
      </c>
      <c r="M69" s="106">
        <v>45112.332939814813</v>
      </c>
      <c r="N69" s="100">
        <v>6</v>
      </c>
      <c r="O69" s="100">
        <v>6</v>
      </c>
      <c r="P69" s="100">
        <v>32</v>
      </c>
      <c r="Q69" s="100">
        <v>35</v>
      </c>
    </row>
    <row r="70" spans="1:17" x14ac:dyDescent="0.3">
      <c r="A70" s="100">
        <v>56</v>
      </c>
      <c r="B70" s="103" t="s">
        <v>356</v>
      </c>
      <c r="C70" s="103" t="s">
        <v>357</v>
      </c>
      <c r="D70" s="103">
        <v>213777</v>
      </c>
      <c r="E70" s="103" t="s">
        <v>209</v>
      </c>
      <c r="F70" s="18">
        <v>12</v>
      </c>
      <c r="G70" s="101">
        <v>202053</v>
      </c>
      <c r="H70" s="103" t="s">
        <v>209</v>
      </c>
      <c r="I70" s="100" t="s">
        <v>428</v>
      </c>
      <c r="J70" s="100">
        <v>1</v>
      </c>
      <c r="K70" s="104">
        <v>45112</v>
      </c>
      <c r="L70" s="100" t="s">
        <v>429</v>
      </c>
      <c r="M70" s="106">
        <v>45112.333402777775</v>
      </c>
      <c r="N70" s="100">
        <v>6</v>
      </c>
      <c r="O70" s="100">
        <v>6</v>
      </c>
      <c r="P70" s="100">
        <v>33</v>
      </c>
      <c r="Q70" s="100">
        <v>36</v>
      </c>
    </row>
    <row r="71" spans="1:17" x14ac:dyDescent="0.3">
      <c r="A71" s="100">
        <v>57</v>
      </c>
      <c r="B71" s="103" t="s">
        <v>356</v>
      </c>
      <c r="C71" s="103" t="s">
        <v>357</v>
      </c>
      <c r="D71" s="103">
        <v>213777</v>
      </c>
      <c r="E71" s="103" t="s">
        <v>209</v>
      </c>
      <c r="F71" s="18">
        <v>12</v>
      </c>
      <c r="G71" s="101">
        <v>202053</v>
      </c>
      <c r="H71" s="103" t="s">
        <v>209</v>
      </c>
      <c r="I71" s="100" t="s">
        <v>430</v>
      </c>
      <c r="J71" s="100">
        <v>1</v>
      </c>
      <c r="K71" s="104">
        <v>45112</v>
      </c>
      <c r="L71" s="100" t="s">
        <v>431</v>
      </c>
      <c r="M71" s="106">
        <v>45112.334652777776</v>
      </c>
      <c r="N71" s="100">
        <v>6</v>
      </c>
      <c r="O71" s="100">
        <v>6</v>
      </c>
      <c r="P71" s="100">
        <v>34</v>
      </c>
      <c r="Q71" s="100">
        <v>37</v>
      </c>
    </row>
    <row r="72" spans="1:17" x14ac:dyDescent="0.3">
      <c r="A72" s="100">
        <v>58</v>
      </c>
      <c r="B72" s="103" t="s">
        <v>356</v>
      </c>
      <c r="C72" s="103" t="s">
        <v>357</v>
      </c>
      <c r="D72" s="103">
        <v>213777</v>
      </c>
      <c r="E72" s="103" t="s">
        <v>209</v>
      </c>
      <c r="F72" s="18">
        <v>12</v>
      </c>
      <c r="G72" s="101">
        <v>202053</v>
      </c>
      <c r="H72" s="103" t="s">
        <v>209</v>
      </c>
      <c r="I72" s="100" t="s">
        <v>432</v>
      </c>
      <c r="J72" s="100">
        <v>2</v>
      </c>
      <c r="K72" s="104">
        <v>45112</v>
      </c>
      <c r="L72" s="100" t="s">
        <v>433</v>
      </c>
      <c r="M72" s="106">
        <v>45112.334976851853</v>
      </c>
      <c r="N72" s="100">
        <v>6</v>
      </c>
      <c r="O72" s="100">
        <v>6</v>
      </c>
      <c r="P72" s="100">
        <v>35</v>
      </c>
      <c r="Q72" s="100">
        <v>38</v>
      </c>
    </row>
    <row r="73" spans="1:17" x14ac:dyDescent="0.3">
      <c r="A73" s="100">
        <v>59</v>
      </c>
      <c r="B73" s="103" t="s">
        <v>356</v>
      </c>
      <c r="C73" s="103" t="s">
        <v>357</v>
      </c>
      <c r="D73" s="103">
        <v>213777</v>
      </c>
      <c r="E73" s="103" t="s">
        <v>209</v>
      </c>
      <c r="F73" s="18">
        <v>12</v>
      </c>
      <c r="G73" s="101">
        <v>202053</v>
      </c>
      <c r="H73" s="103" t="s">
        <v>209</v>
      </c>
      <c r="I73" s="100" t="s">
        <v>434</v>
      </c>
      <c r="J73" s="100">
        <v>3</v>
      </c>
      <c r="K73" s="104">
        <v>45112</v>
      </c>
      <c r="L73" s="100" t="s">
        <v>435</v>
      </c>
      <c r="M73" s="106">
        <v>45112.336539351854</v>
      </c>
      <c r="N73" s="100">
        <v>6</v>
      </c>
      <c r="O73" s="100">
        <v>6</v>
      </c>
      <c r="P73" s="100">
        <v>36</v>
      </c>
      <c r="Q73" s="100">
        <v>39</v>
      </c>
    </row>
    <row r="74" spans="1:17" x14ac:dyDescent="0.3">
      <c r="A74" s="100">
        <v>60</v>
      </c>
      <c r="B74" s="103" t="s">
        <v>356</v>
      </c>
      <c r="C74" s="103" t="s">
        <v>357</v>
      </c>
      <c r="D74" s="103">
        <v>213777</v>
      </c>
      <c r="E74" s="103" t="s">
        <v>209</v>
      </c>
      <c r="F74" s="18">
        <v>12</v>
      </c>
      <c r="G74" s="101">
        <v>202053</v>
      </c>
      <c r="H74" s="103" t="s">
        <v>209</v>
      </c>
      <c r="I74" s="100" t="s">
        <v>436</v>
      </c>
      <c r="J74" s="100">
        <v>3</v>
      </c>
      <c r="K74" s="104">
        <v>45112</v>
      </c>
      <c r="L74" s="100" t="s">
        <v>437</v>
      </c>
      <c r="M74" s="106">
        <v>45112.337002314816</v>
      </c>
      <c r="N74" s="100">
        <v>6</v>
      </c>
      <c r="O74" s="100">
        <v>6</v>
      </c>
      <c r="P74" s="100">
        <v>37</v>
      </c>
      <c r="Q74" s="100">
        <v>40</v>
      </c>
    </row>
    <row r="75" spans="1:17" x14ac:dyDescent="0.3">
      <c r="A75" s="100">
        <v>61</v>
      </c>
      <c r="B75" s="103" t="s">
        <v>356</v>
      </c>
      <c r="C75" s="103" t="s">
        <v>357</v>
      </c>
      <c r="D75" s="103">
        <v>213777</v>
      </c>
      <c r="E75" s="103" t="s">
        <v>209</v>
      </c>
      <c r="F75" s="18">
        <v>12</v>
      </c>
      <c r="G75" s="101">
        <v>202053</v>
      </c>
      <c r="H75" s="103" t="s">
        <v>209</v>
      </c>
      <c r="I75" s="100" t="s">
        <v>438</v>
      </c>
      <c r="J75" s="100">
        <v>2</v>
      </c>
      <c r="K75" s="104">
        <v>45112</v>
      </c>
      <c r="L75" s="100" t="s">
        <v>439</v>
      </c>
      <c r="M75" s="106">
        <v>45112.395937499998</v>
      </c>
      <c r="N75" s="100">
        <v>6</v>
      </c>
      <c r="O75" s="100">
        <v>6</v>
      </c>
      <c r="P75" s="100">
        <v>38</v>
      </c>
      <c r="Q75" s="100">
        <v>41</v>
      </c>
    </row>
    <row r="76" spans="1:17" x14ac:dyDescent="0.3">
      <c r="A76" s="100">
        <v>62</v>
      </c>
      <c r="B76" s="103" t="s">
        <v>356</v>
      </c>
      <c r="C76" s="103" t="s">
        <v>357</v>
      </c>
      <c r="D76" s="103">
        <v>213777</v>
      </c>
      <c r="E76" s="103" t="s">
        <v>209</v>
      </c>
      <c r="F76" s="18">
        <v>12</v>
      </c>
      <c r="G76" s="101">
        <v>202053</v>
      </c>
      <c r="H76" s="103" t="s">
        <v>209</v>
      </c>
      <c r="I76" s="100" t="s">
        <v>440</v>
      </c>
      <c r="J76" s="100">
        <v>3</v>
      </c>
      <c r="K76" s="104">
        <v>45112</v>
      </c>
      <c r="L76" s="100" t="s">
        <v>441</v>
      </c>
      <c r="M76" s="106">
        <v>45112.398773148147</v>
      </c>
      <c r="N76" s="100">
        <v>6</v>
      </c>
      <c r="O76" s="100">
        <v>6</v>
      </c>
      <c r="P76" s="100">
        <v>39</v>
      </c>
      <c r="Q76" s="100">
        <v>42</v>
      </c>
    </row>
    <row r="77" spans="1:17" x14ac:dyDescent="0.3">
      <c r="A77" s="100">
        <v>63</v>
      </c>
      <c r="B77" s="103" t="s">
        <v>356</v>
      </c>
      <c r="C77" s="103" t="s">
        <v>357</v>
      </c>
      <c r="D77" s="103">
        <v>213777</v>
      </c>
      <c r="E77" s="103" t="s">
        <v>209</v>
      </c>
      <c r="F77" s="18">
        <v>12</v>
      </c>
      <c r="G77" s="101">
        <v>202053</v>
      </c>
      <c r="H77" s="103" t="s">
        <v>209</v>
      </c>
      <c r="I77" s="100" t="s">
        <v>442</v>
      </c>
      <c r="J77" s="100">
        <v>0</v>
      </c>
      <c r="K77" s="104">
        <v>45112</v>
      </c>
      <c r="L77" s="100" t="s">
        <v>443</v>
      </c>
      <c r="M77" s="106">
        <v>45112.400277777779</v>
      </c>
      <c r="N77" s="100">
        <v>6</v>
      </c>
      <c r="O77" s="100">
        <v>6</v>
      </c>
      <c r="P77" s="100">
        <v>40</v>
      </c>
      <c r="Q77" s="100">
        <v>43</v>
      </c>
    </row>
    <row r="78" spans="1:17" x14ac:dyDescent="0.3">
      <c r="A78" s="100">
        <v>64</v>
      </c>
      <c r="B78" s="103" t="s">
        <v>356</v>
      </c>
      <c r="C78" s="103" t="s">
        <v>357</v>
      </c>
      <c r="D78" s="103">
        <v>213777</v>
      </c>
      <c r="E78" s="103" t="s">
        <v>209</v>
      </c>
      <c r="F78" s="18">
        <v>12</v>
      </c>
      <c r="G78" s="101">
        <v>202053</v>
      </c>
      <c r="H78" s="103" t="s">
        <v>209</v>
      </c>
      <c r="I78" s="100" t="s">
        <v>444</v>
      </c>
      <c r="J78" s="100">
        <v>1</v>
      </c>
      <c r="K78" s="104">
        <v>45112</v>
      </c>
      <c r="L78" s="100" t="s">
        <v>445</v>
      </c>
      <c r="M78" s="106">
        <v>45112.400289351855</v>
      </c>
      <c r="N78" s="100">
        <v>6</v>
      </c>
      <c r="O78" s="100">
        <v>6</v>
      </c>
      <c r="P78" s="100">
        <v>41</v>
      </c>
      <c r="Q78" s="100">
        <v>44</v>
      </c>
    </row>
    <row r="79" spans="1:17" x14ac:dyDescent="0.3">
      <c r="A79" s="100">
        <v>65</v>
      </c>
      <c r="B79" s="103" t="s">
        <v>356</v>
      </c>
      <c r="C79" s="103" t="s">
        <v>357</v>
      </c>
      <c r="D79" s="103">
        <v>213777</v>
      </c>
      <c r="E79" s="103" t="s">
        <v>209</v>
      </c>
      <c r="F79" s="18">
        <v>12</v>
      </c>
      <c r="G79" s="101">
        <v>202053</v>
      </c>
      <c r="H79" s="103" t="s">
        <v>209</v>
      </c>
      <c r="I79" s="100" t="s">
        <v>446</v>
      </c>
      <c r="J79" s="100">
        <v>3</v>
      </c>
      <c r="K79" s="104">
        <v>45112</v>
      </c>
      <c r="L79" s="100" t="s">
        <v>447</v>
      </c>
      <c r="M79" s="106">
        <v>45112.401006944441</v>
      </c>
      <c r="N79" s="100">
        <v>6</v>
      </c>
      <c r="O79" s="100">
        <v>6</v>
      </c>
      <c r="P79" s="100">
        <v>42</v>
      </c>
      <c r="Q79" s="100">
        <v>45</v>
      </c>
    </row>
    <row r="80" spans="1:17" x14ac:dyDescent="0.3">
      <c r="A80" s="100">
        <v>66</v>
      </c>
      <c r="B80" s="103" t="s">
        <v>356</v>
      </c>
      <c r="C80" s="103" t="s">
        <v>357</v>
      </c>
      <c r="D80" s="103">
        <v>213777</v>
      </c>
      <c r="E80" s="103" t="s">
        <v>209</v>
      </c>
      <c r="F80" s="18">
        <v>12</v>
      </c>
      <c r="G80" s="101">
        <v>202053</v>
      </c>
      <c r="H80" s="103" t="s">
        <v>209</v>
      </c>
      <c r="I80" s="100" t="s">
        <v>448</v>
      </c>
      <c r="J80" s="100">
        <v>0</v>
      </c>
      <c r="K80" s="104">
        <v>45112</v>
      </c>
      <c r="L80" s="100" t="s">
        <v>449</v>
      </c>
      <c r="M80" s="106">
        <v>45112.403634259259</v>
      </c>
      <c r="N80" s="100">
        <v>6</v>
      </c>
      <c r="O80" s="100">
        <v>6</v>
      </c>
      <c r="P80" s="100">
        <v>43</v>
      </c>
      <c r="Q80" s="100">
        <v>46</v>
      </c>
    </row>
    <row r="81" spans="1:17" x14ac:dyDescent="0.3">
      <c r="A81" s="100">
        <v>27</v>
      </c>
      <c r="B81" s="103" t="s">
        <v>184</v>
      </c>
      <c r="C81" s="103" t="s">
        <v>81</v>
      </c>
      <c r="D81" s="103">
        <v>213665</v>
      </c>
      <c r="E81" s="103" t="s">
        <v>209</v>
      </c>
      <c r="F81" s="18">
        <v>12</v>
      </c>
      <c r="G81" s="101">
        <v>202053</v>
      </c>
      <c r="H81" s="103" t="s">
        <v>209</v>
      </c>
      <c r="I81" s="100" t="s">
        <v>210</v>
      </c>
      <c r="J81" s="100">
        <v>3</v>
      </c>
      <c r="K81" s="104">
        <v>45113</v>
      </c>
      <c r="L81" s="100" t="s">
        <v>211</v>
      </c>
      <c r="M81" s="106">
        <v>45113.688738425924</v>
      </c>
      <c r="N81" s="100">
        <v>6</v>
      </c>
      <c r="O81" s="100">
        <v>6</v>
      </c>
      <c r="P81" s="100">
        <v>44</v>
      </c>
      <c r="Q81" s="100">
        <v>12</v>
      </c>
    </row>
    <row r="82" spans="1:17" x14ac:dyDescent="0.3">
      <c r="A82" s="100">
        <v>28</v>
      </c>
      <c r="B82" s="103" t="s">
        <v>184</v>
      </c>
      <c r="C82" s="103" t="s">
        <v>81</v>
      </c>
      <c r="D82" s="103">
        <v>213665</v>
      </c>
      <c r="E82" s="103" t="s">
        <v>209</v>
      </c>
      <c r="F82" s="18">
        <v>12</v>
      </c>
      <c r="G82" s="101">
        <v>202053</v>
      </c>
      <c r="H82" s="103" t="s">
        <v>209</v>
      </c>
      <c r="I82" s="100" t="s">
        <v>212</v>
      </c>
      <c r="J82" s="100">
        <v>1</v>
      </c>
      <c r="K82" s="104">
        <v>45113</v>
      </c>
      <c r="L82" s="100" t="s">
        <v>213</v>
      </c>
      <c r="M82" s="106">
        <v>45113.690300925926</v>
      </c>
      <c r="N82" s="100">
        <v>6</v>
      </c>
      <c r="O82" s="100">
        <v>6</v>
      </c>
      <c r="P82" s="100">
        <v>45</v>
      </c>
      <c r="Q82" s="100">
        <v>13</v>
      </c>
    </row>
    <row r="83" spans="1:17" x14ac:dyDescent="0.3">
      <c r="A83" s="100">
        <v>31</v>
      </c>
      <c r="B83" s="103" t="s">
        <v>184</v>
      </c>
      <c r="C83" s="103" t="s">
        <v>81</v>
      </c>
      <c r="D83" s="103">
        <v>213665</v>
      </c>
      <c r="E83" s="103" t="s">
        <v>209</v>
      </c>
      <c r="F83" s="18">
        <v>12</v>
      </c>
      <c r="G83" s="101">
        <v>202053</v>
      </c>
      <c r="H83" s="103" t="s">
        <v>209</v>
      </c>
      <c r="I83" s="100" t="s">
        <v>219</v>
      </c>
      <c r="J83" s="100">
        <v>1</v>
      </c>
      <c r="K83" s="104">
        <v>45113</v>
      </c>
      <c r="L83" s="100" t="s">
        <v>220</v>
      </c>
      <c r="M83" s="106">
        <v>45113.725381944445</v>
      </c>
      <c r="N83" s="100">
        <v>6</v>
      </c>
      <c r="O83" s="100">
        <v>6</v>
      </c>
      <c r="P83" s="100">
        <v>46</v>
      </c>
      <c r="Q83" s="100">
        <v>16</v>
      </c>
    </row>
    <row r="84" spans="1:17" x14ac:dyDescent="0.3">
      <c r="A84" s="100">
        <v>32</v>
      </c>
      <c r="B84" s="103" t="s">
        <v>184</v>
      </c>
      <c r="C84" s="103" t="s">
        <v>81</v>
      </c>
      <c r="D84" s="103">
        <v>213665</v>
      </c>
      <c r="E84" s="103" t="s">
        <v>209</v>
      </c>
      <c r="F84" s="18">
        <v>12</v>
      </c>
      <c r="G84" s="101">
        <v>202053</v>
      </c>
      <c r="H84" s="103" t="s">
        <v>209</v>
      </c>
      <c r="I84" s="100" t="s">
        <v>221</v>
      </c>
      <c r="J84" s="100">
        <v>1</v>
      </c>
      <c r="K84" s="104">
        <v>45113</v>
      </c>
      <c r="L84" s="100" t="s">
        <v>222</v>
      </c>
      <c r="M84" s="106">
        <v>45113.726319444446</v>
      </c>
      <c r="N84" s="100">
        <v>6</v>
      </c>
      <c r="O84" s="100">
        <v>6</v>
      </c>
      <c r="P84" s="100">
        <v>47</v>
      </c>
      <c r="Q84" s="100">
        <v>17</v>
      </c>
    </row>
    <row r="85" spans="1:17" x14ac:dyDescent="0.3">
      <c r="A85" s="100">
        <v>33</v>
      </c>
      <c r="B85" s="103" t="s">
        <v>184</v>
      </c>
      <c r="C85" s="103" t="s">
        <v>81</v>
      </c>
      <c r="D85" s="103">
        <v>213665</v>
      </c>
      <c r="E85" s="103" t="s">
        <v>209</v>
      </c>
      <c r="F85" s="18">
        <v>12</v>
      </c>
      <c r="G85" s="101">
        <v>202053</v>
      </c>
      <c r="H85" s="103" t="s">
        <v>209</v>
      </c>
      <c r="I85" s="100" t="s">
        <v>223</v>
      </c>
      <c r="J85" s="100">
        <v>0</v>
      </c>
      <c r="K85" s="104">
        <v>45113</v>
      </c>
      <c r="L85" s="100" t="s">
        <v>224</v>
      </c>
      <c r="M85" s="106">
        <v>45113.726342592592</v>
      </c>
      <c r="N85" s="100">
        <v>6</v>
      </c>
      <c r="O85" s="100">
        <v>6</v>
      </c>
      <c r="P85" s="100">
        <v>48</v>
      </c>
      <c r="Q85" s="100">
        <v>18</v>
      </c>
    </row>
    <row r="86" spans="1:17" x14ac:dyDescent="0.3">
      <c r="A86" s="100">
        <v>36</v>
      </c>
      <c r="B86" s="103" t="s">
        <v>356</v>
      </c>
      <c r="C86" s="103" t="s">
        <v>357</v>
      </c>
      <c r="D86" s="103">
        <v>213777</v>
      </c>
      <c r="E86" s="103" t="s">
        <v>249</v>
      </c>
      <c r="F86" s="18">
        <v>32</v>
      </c>
      <c r="G86" s="101">
        <v>223044</v>
      </c>
      <c r="H86" s="103" t="s">
        <v>249</v>
      </c>
      <c r="I86" s="100" t="s">
        <v>388</v>
      </c>
      <c r="J86" s="100">
        <v>1</v>
      </c>
      <c r="K86" s="104">
        <v>45112</v>
      </c>
      <c r="L86" s="100" t="s">
        <v>389</v>
      </c>
      <c r="M86" s="106">
        <v>45112.295335648145</v>
      </c>
      <c r="N86" s="100">
        <v>7</v>
      </c>
      <c r="O86" s="100">
        <v>7</v>
      </c>
      <c r="P86" s="100">
        <v>1</v>
      </c>
      <c r="Q86" s="100">
        <v>16</v>
      </c>
    </row>
    <row r="87" spans="1:17" x14ac:dyDescent="0.3">
      <c r="A87" s="100">
        <v>44</v>
      </c>
      <c r="B87" s="103" t="s">
        <v>184</v>
      </c>
      <c r="C87" s="103" t="s">
        <v>81</v>
      </c>
      <c r="D87" s="103">
        <v>213665</v>
      </c>
      <c r="E87" s="103" t="s">
        <v>249</v>
      </c>
      <c r="F87" s="18">
        <v>32</v>
      </c>
      <c r="G87" s="101">
        <v>223044</v>
      </c>
      <c r="H87" s="103" t="s">
        <v>249</v>
      </c>
      <c r="I87" s="100" t="s">
        <v>250</v>
      </c>
      <c r="J87" s="100">
        <v>1</v>
      </c>
      <c r="K87" s="104">
        <v>45114</v>
      </c>
      <c r="L87" s="100" t="s">
        <v>251</v>
      </c>
      <c r="M87" s="106">
        <v>45114.0078125</v>
      </c>
      <c r="N87" s="100">
        <v>7</v>
      </c>
      <c r="O87" s="100">
        <v>7</v>
      </c>
      <c r="P87" s="100">
        <v>2</v>
      </c>
      <c r="Q87" s="100">
        <v>29</v>
      </c>
    </row>
    <row r="88" spans="1:17" x14ac:dyDescent="0.3">
      <c r="A88" s="100">
        <v>45</v>
      </c>
      <c r="B88" s="103" t="s">
        <v>184</v>
      </c>
      <c r="C88" s="103" t="s">
        <v>81</v>
      </c>
      <c r="D88" s="103">
        <v>213665</v>
      </c>
      <c r="E88" s="103" t="s">
        <v>249</v>
      </c>
      <c r="F88" s="18">
        <v>32</v>
      </c>
      <c r="G88" s="101">
        <v>223044</v>
      </c>
      <c r="H88" s="103" t="s">
        <v>249</v>
      </c>
      <c r="I88" s="100" t="s">
        <v>252</v>
      </c>
      <c r="J88" s="100">
        <v>0</v>
      </c>
      <c r="K88" s="104">
        <v>45114</v>
      </c>
      <c r="L88" s="100" t="s">
        <v>253</v>
      </c>
      <c r="M88" s="106">
        <v>45114.007835648146</v>
      </c>
      <c r="N88" s="100">
        <v>7</v>
      </c>
      <c r="O88" s="100">
        <v>7</v>
      </c>
      <c r="P88" s="100">
        <v>3</v>
      </c>
      <c r="Q88" s="100">
        <v>30</v>
      </c>
    </row>
    <row r="89" spans="1:17" x14ac:dyDescent="0.3">
      <c r="A89" s="100">
        <v>21</v>
      </c>
      <c r="B89" s="103" t="s">
        <v>596</v>
      </c>
      <c r="C89" s="103" t="s">
        <v>597</v>
      </c>
      <c r="D89" s="103">
        <v>213711</v>
      </c>
      <c r="E89" s="103" t="s">
        <v>608</v>
      </c>
      <c r="F89" s="18">
        <v>20</v>
      </c>
      <c r="G89" s="101">
        <v>213074</v>
      </c>
      <c r="H89" s="103" t="s">
        <v>608</v>
      </c>
      <c r="I89" s="100" t="s">
        <v>609</v>
      </c>
      <c r="J89" s="100">
        <v>0</v>
      </c>
      <c r="K89" s="104">
        <v>45112</v>
      </c>
      <c r="L89" s="100" t="s">
        <v>610</v>
      </c>
      <c r="M89" s="106">
        <v>45112.30300925926</v>
      </c>
      <c r="N89" s="100">
        <v>8</v>
      </c>
      <c r="O89" s="100">
        <v>8</v>
      </c>
      <c r="P89" s="100">
        <v>1</v>
      </c>
      <c r="Q89" s="100">
        <v>5</v>
      </c>
    </row>
    <row r="90" spans="1:17" x14ac:dyDescent="0.3">
      <c r="A90" s="100">
        <v>22</v>
      </c>
      <c r="B90" s="103" t="s">
        <v>596</v>
      </c>
      <c r="C90" s="103" t="s">
        <v>597</v>
      </c>
      <c r="D90" s="103">
        <v>213711</v>
      </c>
      <c r="E90" s="103" t="s">
        <v>608</v>
      </c>
      <c r="F90" s="18">
        <v>20</v>
      </c>
      <c r="G90" s="101">
        <v>213074</v>
      </c>
      <c r="H90" s="103" t="s">
        <v>608</v>
      </c>
      <c r="I90" s="100" t="s">
        <v>611</v>
      </c>
      <c r="J90" s="100">
        <v>2</v>
      </c>
      <c r="K90" s="104">
        <v>45112</v>
      </c>
      <c r="L90" s="100" t="s">
        <v>612</v>
      </c>
      <c r="M90" s="106">
        <v>45112.303067129629</v>
      </c>
      <c r="N90" s="100">
        <v>8</v>
      </c>
      <c r="O90" s="100">
        <v>8</v>
      </c>
      <c r="P90" s="100">
        <v>2</v>
      </c>
      <c r="Q90" s="100">
        <v>6</v>
      </c>
    </row>
    <row r="91" spans="1:17" x14ac:dyDescent="0.3">
      <c r="A91" s="100">
        <v>23</v>
      </c>
      <c r="B91" s="103" t="s">
        <v>596</v>
      </c>
      <c r="C91" s="103" t="s">
        <v>597</v>
      </c>
      <c r="D91" s="103">
        <v>213711</v>
      </c>
      <c r="E91" s="103" t="s">
        <v>608</v>
      </c>
      <c r="F91" s="18">
        <v>20</v>
      </c>
      <c r="G91" s="101">
        <v>213074</v>
      </c>
      <c r="H91" s="103" t="s">
        <v>608</v>
      </c>
      <c r="I91" s="100" t="s">
        <v>613</v>
      </c>
      <c r="J91" s="100">
        <v>1</v>
      </c>
      <c r="K91" s="104">
        <v>45112</v>
      </c>
      <c r="L91" s="100" t="s">
        <v>614</v>
      </c>
      <c r="M91" s="106">
        <v>45112.303263888891</v>
      </c>
      <c r="N91" s="100">
        <v>8</v>
      </c>
      <c r="O91" s="100">
        <v>8</v>
      </c>
      <c r="P91" s="100">
        <v>3</v>
      </c>
      <c r="Q91" s="100">
        <v>7</v>
      </c>
    </row>
    <row r="92" spans="1:17" x14ac:dyDescent="0.3">
      <c r="A92" s="100">
        <v>24</v>
      </c>
      <c r="B92" s="103" t="s">
        <v>596</v>
      </c>
      <c r="C92" s="103" t="s">
        <v>597</v>
      </c>
      <c r="D92" s="103">
        <v>213711</v>
      </c>
      <c r="E92" s="103" t="s">
        <v>608</v>
      </c>
      <c r="F92" s="18">
        <v>20</v>
      </c>
      <c r="G92" s="101">
        <v>213074</v>
      </c>
      <c r="H92" s="103" t="s">
        <v>608</v>
      </c>
      <c r="I92" s="100" t="s">
        <v>615</v>
      </c>
      <c r="J92" s="100">
        <v>1</v>
      </c>
      <c r="K92" s="104">
        <v>45112</v>
      </c>
      <c r="L92" s="100" t="s">
        <v>616</v>
      </c>
      <c r="M92" s="106">
        <v>45112.303726851853</v>
      </c>
      <c r="N92" s="100">
        <v>8</v>
      </c>
      <c r="O92" s="100">
        <v>8</v>
      </c>
      <c r="P92" s="100">
        <v>4</v>
      </c>
      <c r="Q92" s="100">
        <v>8</v>
      </c>
    </row>
    <row r="93" spans="1:17" x14ac:dyDescent="0.3">
      <c r="A93" s="100">
        <v>25</v>
      </c>
      <c r="B93" s="103" t="s">
        <v>596</v>
      </c>
      <c r="C93" s="103" t="s">
        <v>597</v>
      </c>
      <c r="D93" s="103">
        <v>213711</v>
      </c>
      <c r="E93" s="103" t="s">
        <v>608</v>
      </c>
      <c r="F93" s="18">
        <v>20</v>
      </c>
      <c r="G93" s="101">
        <v>213074</v>
      </c>
      <c r="H93" s="103" t="s">
        <v>608</v>
      </c>
      <c r="I93" s="100" t="s">
        <v>617</v>
      </c>
      <c r="J93" s="100">
        <v>1</v>
      </c>
      <c r="K93" s="104">
        <v>45112</v>
      </c>
      <c r="L93" s="100" t="s">
        <v>618</v>
      </c>
      <c r="M93" s="106">
        <v>45112.303877314815</v>
      </c>
      <c r="N93" s="100">
        <v>8</v>
      </c>
      <c r="O93" s="100">
        <v>8</v>
      </c>
      <c r="P93" s="100">
        <v>5</v>
      </c>
      <c r="Q93" s="100">
        <v>9</v>
      </c>
    </row>
    <row r="94" spans="1:17" x14ac:dyDescent="0.3">
      <c r="A94" s="100">
        <v>26</v>
      </c>
      <c r="B94" s="103" t="s">
        <v>596</v>
      </c>
      <c r="C94" s="103" t="s">
        <v>597</v>
      </c>
      <c r="D94" s="103">
        <v>213711</v>
      </c>
      <c r="E94" s="103" t="s">
        <v>608</v>
      </c>
      <c r="F94" s="18">
        <v>20</v>
      </c>
      <c r="G94" s="101">
        <v>213074</v>
      </c>
      <c r="H94" s="103" t="s">
        <v>608</v>
      </c>
      <c r="I94" s="100" t="s">
        <v>619</v>
      </c>
      <c r="J94" s="100">
        <v>1</v>
      </c>
      <c r="K94" s="104">
        <v>45112</v>
      </c>
      <c r="L94" s="100" t="s">
        <v>620</v>
      </c>
      <c r="M94" s="106">
        <v>45112.304328703707</v>
      </c>
      <c r="N94" s="100">
        <v>8</v>
      </c>
      <c r="O94" s="100">
        <v>8</v>
      </c>
      <c r="P94" s="100">
        <v>6</v>
      </c>
      <c r="Q94" s="100">
        <v>10</v>
      </c>
    </row>
    <row r="95" spans="1:17" x14ac:dyDescent="0.3">
      <c r="A95" s="100">
        <v>27</v>
      </c>
      <c r="B95" s="103" t="s">
        <v>596</v>
      </c>
      <c r="C95" s="103" t="s">
        <v>597</v>
      </c>
      <c r="D95" s="103">
        <v>213711</v>
      </c>
      <c r="E95" s="103" t="s">
        <v>608</v>
      </c>
      <c r="F95" s="18">
        <v>20</v>
      </c>
      <c r="G95" s="101">
        <v>213074</v>
      </c>
      <c r="H95" s="103" t="s">
        <v>608</v>
      </c>
      <c r="I95" s="100" t="s">
        <v>621</v>
      </c>
      <c r="J95" s="100">
        <v>0</v>
      </c>
      <c r="K95" s="104">
        <v>45112</v>
      </c>
      <c r="L95" s="100" t="s">
        <v>622</v>
      </c>
      <c r="M95" s="106">
        <v>45112.304490740738</v>
      </c>
      <c r="N95" s="100">
        <v>8</v>
      </c>
      <c r="O95" s="100">
        <v>8</v>
      </c>
      <c r="P95" s="100">
        <v>7</v>
      </c>
      <c r="Q95" s="100">
        <v>11</v>
      </c>
    </row>
    <row r="96" spans="1:17" x14ac:dyDescent="0.3">
      <c r="A96" s="100">
        <v>28</v>
      </c>
      <c r="B96" s="103" t="s">
        <v>596</v>
      </c>
      <c r="C96" s="103" t="s">
        <v>597</v>
      </c>
      <c r="D96" s="103">
        <v>213711</v>
      </c>
      <c r="E96" s="103" t="s">
        <v>608</v>
      </c>
      <c r="F96" s="18">
        <v>20</v>
      </c>
      <c r="G96" s="101">
        <v>213074</v>
      </c>
      <c r="H96" s="103" t="s">
        <v>608</v>
      </c>
      <c r="I96" s="100" t="s">
        <v>623</v>
      </c>
      <c r="J96" s="100">
        <v>1</v>
      </c>
      <c r="K96" s="104">
        <v>45112</v>
      </c>
      <c r="L96" s="100" t="s">
        <v>624</v>
      </c>
      <c r="M96" s="106">
        <v>45112.304606481484</v>
      </c>
      <c r="N96" s="100">
        <v>8</v>
      </c>
      <c r="O96" s="100">
        <v>8</v>
      </c>
      <c r="P96" s="100">
        <v>8</v>
      </c>
      <c r="Q96" s="100">
        <v>12</v>
      </c>
    </row>
    <row r="97" spans="1:17" x14ac:dyDescent="0.3">
      <c r="A97" s="100">
        <v>29</v>
      </c>
      <c r="B97" s="103" t="s">
        <v>596</v>
      </c>
      <c r="C97" s="103" t="s">
        <v>597</v>
      </c>
      <c r="D97" s="103">
        <v>213711</v>
      </c>
      <c r="E97" s="103" t="s">
        <v>608</v>
      </c>
      <c r="F97" s="18">
        <v>20</v>
      </c>
      <c r="G97" s="101">
        <v>213074</v>
      </c>
      <c r="H97" s="103" t="s">
        <v>608</v>
      </c>
      <c r="I97" s="100" t="s">
        <v>625</v>
      </c>
      <c r="J97" s="100">
        <v>1</v>
      </c>
      <c r="K97" s="104">
        <v>45112</v>
      </c>
      <c r="L97" s="100" t="s">
        <v>626</v>
      </c>
      <c r="M97" s="106">
        <v>45112.304664351854</v>
      </c>
      <c r="N97" s="100">
        <v>8</v>
      </c>
      <c r="O97" s="100">
        <v>8</v>
      </c>
      <c r="P97" s="100">
        <v>9</v>
      </c>
      <c r="Q97" s="100">
        <v>13</v>
      </c>
    </row>
    <row r="98" spans="1:17" x14ac:dyDescent="0.3">
      <c r="A98" s="100">
        <v>30</v>
      </c>
      <c r="B98" s="103" t="s">
        <v>596</v>
      </c>
      <c r="C98" s="103" t="s">
        <v>597</v>
      </c>
      <c r="D98" s="103">
        <v>213711</v>
      </c>
      <c r="E98" s="103" t="s">
        <v>608</v>
      </c>
      <c r="F98" s="18">
        <v>20</v>
      </c>
      <c r="G98" s="101">
        <v>213074</v>
      </c>
      <c r="H98" s="103" t="s">
        <v>608</v>
      </c>
      <c r="I98" s="100" t="s">
        <v>627</v>
      </c>
      <c r="J98" s="100">
        <v>1</v>
      </c>
      <c r="K98" s="104">
        <v>45112</v>
      </c>
      <c r="L98" s="100" t="s">
        <v>628</v>
      </c>
      <c r="M98" s="106">
        <v>45112.305324074077</v>
      </c>
      <c r="N98" s="100">
        <v>8</v>
      </c>
      <c r="O98" s="100">
        <v>8</v>
      </c>
      <c r="P98" s="100">
        <v>10</v>
      </c>
      <c r="Q98" s="100">
        <v>14</v>
      </c>
    </row>
    <row r="99" spans="1:17" x14ac:dyDescent="0.3">
      <c r="A99" s="100">
        <v>31</v>
      </c>
      <c r="B99" s="103" t="s">
        <v>596</v>
      </c>
      <c r="C99" s="103" t="s">
        <v>597</v>
      </c>
      <c r="D99" s="103">
        <v>213711</v>
      </c>
      <c r="E99" s="103" t="s">
        <v>608</v>
      </c>
      <c r="F99" s="18">
        <v>20</v>
      </c>
      <c r="G99" s="101">
        <v>213074</v>
      </c>
      <c r="H99" s="103" t="s">
        <v>608</v>
      </c>
      <c r="I99" s="100" t="s">
        <v>629</v>
      </c>
      <c r="J99" s="100">
        <v>1</v>
      </c>
      <c r="K99" s="104">
        <v>45112</v>
      </c>
      <c r="L99" s="100" t="s">
        <v>630</v>
      </c>
      <c r="M99" s="106">
        <v>45112.30541666667</v>
      </c>
      <c r="N99" s="100">
        <v>8</v>
      </c>
      <c r="O99" s="100">
        <v>8</v>
      </c>
      <c r="P99" s="100">
        <v>11</v>
      </c>
      <c r="Q99" s="100">
        <v>15</v>
      </c>
    </row>
    <row r="100" spans="1:17" x14ac:dyDescent="0.3">
      <c r="A100" s="100">
        <v>32</v>
      </c>
      <c r="B100" s="103" t="s">
        <v>596</v>
      </c>
      <c r="C100" s="103" t="s">
        <v>597</v>
      </c>
      <c r="D100" s="103">
        <v>213711</v>
      </c>
      <c r="E100" s="103" t="s">
        <v>608</v>
      </c>
      <c r="F100" s="18">
        <v>20</v>
      </c>
      <c r="G100" s="101">
        <v>213074</v>
      </c>
      <c r="H100" s="103" t="s">
        <v>608</v>
      </c>
      <c r="I100" s="100" t="s">
        <v>631</v>
      </c>
      <c r="J100" s="100">
        <v>1</v>
      </c>
      <c r="K100" s="104">
        <v>45112</v>
      </c>
      <c r="L100" s="100" t="s">
        <v>632</v>
      </c>
      <c r="M100" s="106">
        <v>45112.305567129632</v>
      </c>
      <c r="N100" s="100">
        <v>8</v>
      </c>
      <c r="O100" s="100">
        <v>8</v>
      </c>
      <c r="P100" s="100">
        <v>12</v>
      </c>
      <c r="Q100" s="100">
        <v>16</v>
      </c>
    </row>
    <row r="101" spans="1:17" x14ac:dyDescent="0.3">
      <c r="A101" s="100">
        <v>33</v>
      </c>
      <c r="B101" s="103" t="s">
        <v>596</v>
      </c>
      <c r="C101" s="103" t="s">
        <v>597</v>
      </c>
      <c r="D101" s="103">
        <v>213711</v>
      </c>
      <c r="E101" s="103" t="s">
        <v>608</v>
      </c>
      <c r="F101" s="18">
        <v>20</v>
      </c>
      <c r="G101" s="101">
        <v>213074</v>
      </c>
      <c r="H101" s="103" t="s">
        <v>608</v>
      </c>
      <c r="I101" s="100" t="s">
        <v>633</v>
      </c>
      <c r="J101" s="100">
        <v>1</v>
      </c>
      <c r="K101" s="104">
        <v>45112</v>
      </c>
      <c r="L101" s="100" t="s">
        <v>634</v>
      </c>
      <c r="M101" s="106">
        <v>45112.308020833334</v>
      </c>
      <c r="N101" s="100">
        <v>8</v>
      </c>
      <c r="O101" s="100">
        <v>8</v>
      </c>
      <c r="P101" s="100">
        <v>13</v>
      </c>
      <c r="Q101" s="100">
        <v>17</v>
      </c>
    </row>
    <row r="102" spans="1:17" x14ac:dyDescent="0.3">
      <c r="A102" s="100">
        <v>34</v>
      </c>
      <c r="B102" s="103" t="s">
        <v>596</v>
      </c>
      <c r="C102" s="103" t="s">
        <v>597</v>
      </c>
      <c r="D102" s="103">
        <v>213711</v>
      </c>
      <c r="E102" s="103" t="s">
        <v>608</v>
      </c>
      <c r="F102" s="18">
        <v>20</v>
      </c>
      <c r="G102" s="101">
        <v>213074</v>
      </c>
      <c r="H102" s="103" t="s">
        <v>608</v>
      </c>
      <c r="I102" s="100" t="s">
        <v>635</v>
      </c>
      <c r="J102" s="100">
        <v>0</v>
      </c>
      <c r="K102" s="104">
        <v>45112</v>
      </c>
      <c r="L102" s="100" t="s">
        <v>636</v>
      </c>
      <c r="M102" s="106">
        <v>45112.308240740742</v>
      </c>
      <c r="N102" s="100">
        <v>8</v>
      </c>
      <c r="O102" s="100">
        <v>8</v>
      </c>
      <c r="P102" s="100">
        <v>14</v>
      </c>
      <c r="Q102" s="100">
        <v>18</v>
      </c>
    </row>
    <row r="103" spans="1:17" x14ac:dyDescent="0.3">
      <c r="A103" s="100">
        <v>35</v>
      </c>
      <c r="B103" s="103" t="s">
        <v>596</v>
      </c>
      <c r="C103" s="103" t="s">
        <v>597</v>
      </c>
      <c r="D103" s="103">
        <v>213711</v>
      </c>
      <c r="E103" s="103" t="s">
        <v>608</v>
      </c>
      <c r="F103" s="18">
        <v>20</v>
      </c>
      <c r="G103" s="101">
        <v>213074</v>
      </c>
      <c r="H103" s="103" t="s">
        <v>608</v>
      </c>
      <c r="I103" s="100" t="s">
        <v>637</v>
      </c>
      <c r="J103" s="100">
        <v>0</v>
      </c>
      <c r="K103" s="104">
        <v>45112</v>
      </c>
      <c r="L103" s="100" t="s">
        <v>638</v>
      </c>
      <c r="M103" s="106">
        <v>45112.315127314818</v>
      </c>
      <c r="N103" s="100">
        <v>8</v>
      </c>
      <c r="O103" s="100">
        <v>8</v>
      </c>
      <c r="P103" s="100">
        <v>15</v>
      </c>
      <c r="Q103" s="100">
        <v>19</v>
      </c>
    </row>
    <row r="104" spans="1:17" x14ac:dyDescent="0.3">
      <c r="A104" s="100">
        <v>36</v>
      </c>
      <c r="B104" s="103" t="s">
        <v>596</v>
      </c>
      <c r="C104" s="103" t="s">
        <v>597</v>
      </c>
      <c r="D104" s="103">
        <v>213711</v>
      </c>
      <c r="E104" s="103" t="s">
        <v>608</v>
      </c>
      <c r="F104" s="18">
        <v>20</v>
      </c>
      <c r="G104" s="101">
        <v>213074</v>
      </c>
      <c r="H104" s="103" t="s">
        <v>608</v>
      </c>
      <c r="I104" s="100" t="s">
        <v>639</v>
      </c>
      <c r="J104" s="100">
        <v>3</v>
      </c>
      <c r="K104" s="104">
        <v>45112</v>
      </c>
      <c r="L104" s="100" t="s">
        <v>640</v>
      </c>
      <c r="M104" s="106">
        <v>45112.315381944441</v>
      </c>
      <c r="N104" s="100">
        <v>8</v>
      </c>
      <c r="O104" s="100">
        <v>8</v>
      </c>
      <c r="P104" s="100">
        <v>16</v>
      </c>
      <c r="Q104" s="100">
        <v>20</v>
      </c>
    </row>
    <row r="105" spans="1:17" x14ac:dyDescent="0.3">
      <c r="A105" s="100">
        <v>37</v>
      </c>
      <c r="B105" s="103" t="s">
        <v>596</v>
      </c>
      <c r="C105" s="103" t="s">
        <v>597</v>
      </c>
      <c r="D105" s="103">
        <v>213711</v>
      </c>
      <c r="E105" s="103" t="s">
        <v>608</v>
      </c>
      <c r="F105" s="18">
        <v>20</v>
      </c>
      <c r="G105" s="101">
        <v>213074</v>
      </c>
      <c r="H105" s="103" t="s">
        <v>608</v>
      </c>
      <c r="I105" s="100" t="s">
        <v>641</v>
      </c>
      <c r="J105" s="100">
        <v>1</v>
      </c>
      <c r="K105" s="104">
        <v>45112</v>
      </c>
      <c r="L105" s="100" t="s">
        <v>642</v>
      </c>
      <c r="M105" s="106">
        <v>45112.315578703703</v>
      </c>
      <c r="N105" s="100">
        <v>8</v>
      </c>
      <c r="O105" s="100">
        <v>8</v>
      </c>
      <c r="P105" s="100">
        <v>17</v>
      </c>
      <c r="Q105" s="100">
        <v>21</v>
      </c>
    </row>
    <row r="106" spans="1:17" x14ac:dyDescent="0.3">
      <c r="A106" s="100">
        <v>38</v>
      </c>
      <c r="B106" s="103" t="s">
        <v>596</v>
      </c>
      <c r="C106" s="103" t="s">
        <v>597</v>
      </c>
      <c r="D106" s="103">
        <v>213711</v>
      </c>
      <c r="E106" s="103" t="s">
        <v>608</v>
      </c>
      <c r="F106" s="18">
        <v>20</v>
      </c>
      <c r="G106" s="101">
        <v>213074</v>
      </c>
      <c r="H106" s="103" t="s">
        <v>608</v>
      </c>
      <c r="I106" s="100" t="s">
        <v>643</v>
      </c>
      <c r="J106" s="100">
        <v>1</v>
      </c>
      <c r="K106" s="104">
        <v>45112</v>
      </c>
      <c r="L106" s="100" t="s">
        <v>644</v>
      </c>
      <c r="M106" s="106">
        <v>45112.315659722219</v>
      </c>
      <c r="N106" s="100">
        <v>8</v>
      </c>
      <c r="O106" s="100">
        <v>8</v>
      </c>
      <c r="P106" s="100">
        <v>18</v>
      </c>
      <c r="Q106" s="100">
        <v>22</v>
      </c>
    </row>
    <row r="107" spans="1:17" x14ac:dyDescent="0.3">
      <c r="A107" s="100">
        <v>39</v>
      </c>
      <c r="B107" s="103" t="s">
        <v>596</v>
      </c>
      <c r="C107" s="103" t="s">
        <v>597</v>
      </c>
      <c r="D107" s="103">
        <v>213711</v>
      </c>
      <c r="E107" s="103" t="s">
        <v>608</v>
      </c>
      <c r="F107" s="18">
        <v>20</v>
      </c>
      <c r="G107" s="101">
        <v>213074</v>
      </c>
      <c r="H107" s="103" t="s">
        <v>608</v>
      </c>
      <c r="I107" s="100" t="s">
        <v>645</v>
      </c>
      <c r="J107" s="100">
        <v>2</v>
      </c>
      <c r="K107" s="104">
        <v>45112</v>
      </c>
      <c r="L107" s="100" t="s">
        <v>646</v>
      </c>
      <c r="M107" s="106">
        <v>45112.621087962965</v>
      </c>
      <c r="N107" s="100">
        <v>8</v>
      </c>
      <c r="O107" s="100">
        <v>8</v>
      </c>
      <c r="P107" s="100">
        <v>19</v>
      </c>
      <c r="Q107" s="100">
        <v>23</v>
      </c>
    </row>
    <row r="108" spans="1:17" x14ac:dyDescent="0.3">
      <c r="A108" s="100">
        <v>40</v>
      </c>
      <c r="B108" s="103" t="s">
        <v>596</v>
      </c>
      <c r="C108" s="103" t="s">
        <v>597</v>
      </c>
      <c r="D108" s="103">
        <v>213711</v>
      </c>
      <c r="E108" s="103" t="s">
        <v>608</v>
      </c>
      <c r="F108" s="18">
        <v>20</v>
      </c>
      <c r="G108" s="101">
        <v>213074</v>
      </c>
      <c r="H108" s="103" t="s">
        <v>608</v>
      </c>
      <c r="I108" s="100" t="s">
        <v>647</v>
      </c>
      <c r="J108" s="100">
        <v>1</v>
      </c>
      <c r="K108" s="104">
        <v>45112</v>
      </c>
      <c r="L108" s="100" t="s">
        <v>648</v>
      </c>
      <c r="M108" s="106">
        <v>45112.621435185189</v>
      </c>
      <c r="N108" s="100">
        <v>8</v>
      </c>
      <c r="O108" s="100">
        <v>8</v>
      </c>
      <c r="P108" s="100">
        <v>20</v>
      </c>
      <c r="Q108" s="100">
        <v>24</v>
      </c>
    </row>
    <row r="109" spans="1:17" x14ac:dyDescent="0.3">
      <c r="A109" s="100">
        <v>41</v>
      </c>
      <c r="B109" s="103" t="s">
        <v>596</v>
      </c>
      <c r="C109" s="103" t="s">
        <v>597</v>
      </c>
      <c r="D109" s="103">
        <v>213711</v>
      </c>
      <c r="E109" s="103" t="s">
        <v>608</v>
      </c>
      <c r="F109" s="18">
        <v>20</v>
      </c>
      <c r="G109" s="101">
        <v>213074</v>
      </c>
      <c r="H109" s="103" t="s">
        <v>608</v>
      </c>
      <c r="I109" s="100" t="s">
        <v>649</v>
      </c>
      <c r="J109" s="100">
        <v>3</v>
      </c>
      <c r="K109" s="104">
        <v>45112</v>
      </c>
      <c r="L109" s="100" t="s">
        <v>650</v>
      </c>
      <c r="M109" s="106">
        <v>45112.62300925926</v>
      </c>
      <c r="N109" s="100">
        <v>8</v>
      </c>
      <c r="O109" s="100">
        <v>8</v>
      </c>
      <c r="P109" s="100">
        <v>21</v>
      </c>
      <c r="Q109" s="100">
        <v>25</v>
      </c>
    </row>
    <row r="110" spans="1:17" x14ac:dyDescent="0.3">
      <c r="A110" s="100">
        <v>42</v>
      </c>
      <c r="B110" s="103" t="s">
        <v>596</v>
      </c>
      <c r="C110" s="103" t="s">
        <v>597</v>
      </c>
      <c r="D110" s="103">
        <v>213711</v>
      </c>
      <c r="E110" s="103" t="s">
        <v>608</v>
      </c>
      <c r="F110" s="18">
        <v>20</v>
      </c>
      <c r="G110" s="101">
        <v>213074</v>
      </c>
      <c r="H110" s="103" t="s">
        <v>608</v>
      </c>
      <c r="I110" s="100" t="s">
        <v>651</v>
      </c>
      <c r="J110" s="100">
        <v>0</v>
      </c>
      <c r="K110" s="104">
        <v>45112</v>
      </c>
      <c r="L110" s="100" t="s">
        <v>652</v>
      </c>
      <c r="M110" s="106">
        <v>45112.623611111114</v>
      </c>
      <c r="N110" s="100">
        <v>8</v>
      </c>
      <c r="O110" s="100">
        <v>8</v>
      </c>
      <c r="P110" s="100">
        <v>22</v>
      </c>
      <c r="Q110" s="100">
        <v>26</v>
      </c>
    </row>
    <row r="111" spans="1:17" x14ac:dyDescent="0.3">
      <c r="A111" s="100">
        <v>43</v>
      </c>
      <c r="B111" s="103" t="s">
        <v>596</v>
      </c>
      <c r="C111" s="103" t="s">
        <v>597</v>
      </c>
      <c r="D111" s="103">
        <v>213711</v>
      </c>
      <c r="E111" s="103" t="s">
        <v>608</v>
      </c>
      <c r="F111" s="18">
        <v>20</v>
      </c>
      <c r="G111" s="101">
        <v>213074</v>
      </c>
      <c r="H111" s="103" t="s">
        <v>608</v>
      </c>
      <c r="I111" s="100" t="s">
        <v>653</v>
      </c>
      <c r="J111" s="100">
        <v>3</v>
      </c>
      <c r="K111" s="104">
        <v>45112</v>
      </c>
      <c r="L111" s="100" t="s">
        <v>654</v>
      </c>
      <c r="M111" s="106">
        <v>45112.623831018522</v>
      </c>
      <c r="N111" s="100">
        <v>8</v>
      </c>
      <c r="O111" s="100">
        <v>8</v>
      </c>
      <c r="P111" s="100">
        <v>23</v>
      </c>
      <c r="Q111" s="100">
        <v>27</v>
      </c>
    </row>
    <row r="112" spans="1:17" x14ac:dyDescent="0.3">
      <c r="A112" s="100">
        <v>44</v>
      </c>
      <c r="B112" s="103" t="s">
        <v>596</v>
      </c>
      <c r="C112" s="103" t="s">
        <v>597</v>
      </c>
      <c r="D112" s="103">
        <v>213711</v>
      </c>
      <c r="E112" s="103" t="s">
        <v>608</v>
      </c>
      <c r="F112" s="18">
        <v>20</v>
      </c>
      <c r="G112" s="101">
        <v>213074</v>
      </c>
      <c r="H112" s="103" t="s">
        <v>608</v>
      </c>
      <c r="I112" s="100" t="s">
        <v>655</v>
      </c>
      <c r="J112" s="100">
        <v>1</v>
      </c>
      <c r="K112" s="104">
        <v>45112</v>
      </c>
      <c r="L112" s="100" t="s">
        <v>656</v>
      </c>
      <c r="M112" s="106">
        <v>45112.624386574076</v>
      </c>
      <c r="N112" s="100">
        <v>8</v>
      </c>
      <c r="O112" s="100">
        <v>8</v>
      </c>
      <c r="P112" s="100">
        <v>24</v>
      </c>
      <c r="Q112" s="100">
        <v>28</v>
      </c>
    </row>
    <row r="113" spans="1:17" x14ac:dyDescent="0.3">
      <c r="A113" s="100">
        <v>45</v>
      </c>
      <c r="B113" s="103" t="s">
        <v>596</v>
      </c>
      <c r="C113" s="103" t="s">
        <v>597</v>
      </c>
      <c r="D113" s="103">
        <v>213711</v>
      </c>
      <c r="E113" s="103" t="s">
        <v>608</v>
      </c>
      <c r="F113" s="18">
        <v>20</v>
      </c>
      <c r="G113" s="101">
        <v>213074</v>
      </c>
      <c r="H113" s="103" t="s">
        <v>608</v>
      </c>
      <c r="I113" s="100" t="s">
        <v>657</v>
      </c>
      <c r="J113" s="100">
        <v>1</v>
      </c>
      <c r="K113" s="104">
        <v>45112</v>
      </c>
      <c r="L113" s="100" t="s">
        <v>658</v>
      </c>
      <c r="M113" s="106">
        <v>45112.624490740738</v>
      </c>
      <c r="N113" s="100">
        <v>8</v>
      </c>
      <c r="O113" s="100">
        <v>8</v>
      </c>
      <c r="P113" s="100">
        <v>25</v>
      </c>
      <c r="Q113" s="100">
        <v>29</v>
      </c>
    </row>
    <row r="114" spans="1:17" x14ac:dyDescent="0.3">
      <c r="A114" s="100">
        <v>46</v>
      </c>
      <c r="B114" s="103" t="s">
        <v>596</v>
      </c>
      <c r="C114" s="103" t="s">
        <v>597</v>
      </c>
      <c r="D114" s="103">
        <v>213711</v>
      </c>
      <c r="E114" s="103" t="s">
        <v>608</v>
      </c>
      <c r="F114" s="18">
        <v>20</v>
      </c>
      <c r="G114" s="101">
        <v>213074</v>
      </c>
      <c r="H114" s="103" t="s">
        <v>608</v>
      </c>
      <c r="I114" s="100" t="s">
        <v>659</v>
      </c>
      <c r="J114" s="100">
        <v>1</v>
      </c>
      <c r="K114" s="104">
        <v>45112</v>
      </c>
      <c r="L114" s="100" t="s">
        <v>660</v>
      </c>
      <c r="M114" s="106">
        <v>45112.631782407407</v>
      </c>
      <c r="N114" s="100">
        <v>8</v>
      </c>
      <c r="O114" s="100">
        <v>8</v>
      </c>
      <c r="P114" s="100">
        <v>26</v>
      </c>
      <c r="Q114" s="100">
        <v>30</v>
      </c>
    </row>
    <row r="115" spans="1:17" x14ac:dyDescent="0.3">
      <c r="A115" s="100">
        <v>47</v>
      </c>
      <c r="B115" s="103" t="s">
        <v>596</v>
      </c>
      <c r="C115" s="103" t="s">
        <v>597</v>
      </c>
      <c r="D115" s="103">
        <v>213711</v>
      </c>
      <c r="E115" s="103" t="s">
        <v>608</v>
      </c>
      <c r="F115" s="18">
        <v>20</v>
      </c>
      <c r="G115" s="101">
        <v>213074</v>
      </c>
      <c r="H115" s="103" t="s">
        <v>608</v>
      </c>
      <c r="I115" s="100" t="s">
        <v>661</v>
      </c>
      <c r="J115" s="100">
        <v>2</v>
      </c>
      <c r="K115" s="104">
        <v>45112</v>
      </c>
      <c r="L115" s="100" t="s">
        <v>662</v>
      </c>
      <c r="M115" s="106">
        <v>45112.632754629631</v>
      </c>
      <c r="N115" s="100">
        <v>8</v>
      </c>
      <c r="O115" s="100">
        <v>8</v>
      </c>
      <c r="P115" s="100">
        <v>27</v>
      </c>
      <c r="Q115" s="100">
        <v>31</v>
      </c>
    </row>
    <row r="116" spans="1:17" x14ac:dyDescent="0.3">
      <c r="A116" s="100">
        <v>48</v>
      </c>
      <c r="B116" s="103" t="s">
        <v>596</v>
      </c>
      <c r="C116" s="103" t="s">
        <v>597</v>
      </c>
      <c r="D116" s="103">
        <v>213711</v>
      </c>
      <c r="E116" s="103" t="s">
        <v>608</v>
      </c>
      <c r="F116" s="18">
        <v>20</v>
      </c>
      <c r="G116" s="101">
        <v>213074</v>
      </c>
      <c r="H116" s="103" t="s">
        <v>608</v>
      </c>
      <c r="I116" s="100" t="s">
        <v>663</v>
      </c>
      <c r="J116" s="100">
        <v>1</v>
      </c>
      <c r="K116" s="104">
        <v>45112</v>
      </c>
      <c r="L116" s="100" t="s">
        <v>664</v>
      </c>
      <c r="M116" s="106">
        <v>45112.632824074077</v>
      </c>
      <c r="N116" s="100">
        <v>8</v>
      </c>
      <c r="O116" s="100">
        <v>8</v>
      </c>
      <c r="P116" s="100">
        <v>28</v>
      </c>
      <c r="Q116" s="100">
        <v>32</v>
      </c>
    </row>
    <row r="117" spans="1:17" x14ac:dyDescent="0.3">
      <c r="A117" s="100">
        <v>49</v>
      </c>
      <c r="B117" s="103" t="s">
        <v>596</v>
      </c>
      <c r="C117" s="103" t="s">
        <v>597</v>
      </c>
      <c r="D117" s="103">
        <v>213711</v>
      </c>
      <c r="E117" s="103" t="s">
        <v>608</v>
      </c>
      <c r="F117" s="18">
        <v>20</v>
      </c>
      <c r="G117" s="101">
        <v>213074</v>
      </c>
      <c r="H117" s="103" t="s">
        <v>608</v>
      </c>
      <c r="I117" s="100" t="s">
        <v>665</v>
      </c>
      <c r="J117" s="100">
        <v>0</v>
      </c>
      <c r="K117" s="104">
        <v>45112</v>
      </c>
      <c r="L117" s="100" t="s">
        <v>666</v>
      </c>
      <c r="M117" s="106">
        <v>45112.632916666669</v>
      </c>
      <c r="N117" s="100">
        <v>8</v>
      </c>
      <c r="O117" s="100">
        <v>8</v>
      </c>
      <c r="P117" s="100">
        <v>29</v>
      </c>
      <c r="Q117" s="100">
        <v>33</v>
      </c>
    </row>
    <row r="118" spans="1:17" x14ac:dyDescent="0.3">
      <c r="A118" s="100">
        <v>50</v>
      </c>
      <c r="B118" s="103" t="s">
        <v>596</v>
      </c>
      <c r="C118" s="103" t="s">
        <v>597</v>
      </c>
      <c r="D118" s="103">
        <v>213711</v>
      </c>
      <c r="E118" s="103" t="s">
        <v>608</v>
      </c>
      <c r="F118" s="18">
        <v>20</v>
      </c>
      <c r="G118" s="101">
        <v>213074</v>
      </c>
      <c r="H118" s="103" t="s">
        <v>608</v>
      </c>
      <c r="I118" s="100" t="s">
        <v>667</v>
      </c>
      <c r="J118" s="100">
        <v>1</v>
      </c>
      <c r="K118" s="104">
        <v>45112</v>
      </c>
      <c r="L118" s="100" t="s">
        <v>668</v>
      </c>
      <c r="M118" s="106">
        <v>45112.633576388886</v>
      </c>
      <c r="N118" s="100">
        <v>8</v>
      </c>
      <c r="O118" s="100">
        <v>8</v>
      </c>
      <c r="P118" s="100">
        <v>30</v>
      </c>
      <c r="Q118" s="100">
        <v>34</v>
      </c>
    </row>
    <row r="119" spans="1:17" x14ac:dyDescent="0.3">
      <c r="A119" s="100">
        <v>51</v>
      </c>
      <c r="B119" s="103" t="s">
        <v>596</v>
      </c>
      <c r="C119" s="103" t="s">
        <v>597</v>
      </c>
      <c r="D119" s="103">
        <v>213711</v>
      </c>
      <c r="E119" s="103" t="s">
        <v>608</v>
      </c>
      <c r="F119" s="18">
        <v>20</v>
      </c>
      <c r="G119" s="101">
        <v>213074</v>
      </c>
      <c r="H119" s="103" t="s">
        <v>608</v>
      </c>
      <c r="I119" s="100" t="s">
        <v>669</v>
      </c>
      <c r="J119" s="100">
        <v>1</v>
      </c>
      <c r="K119" s="104">
        <v>45112</v>
      </c>
      <c r="L119" s="100" t="s">
        <v>670</v>
      </c>
      <c r="M119" s="106">
        <v>45112.633634259262</v>
      </c>
      <c r="N119" s="100">
        <v>8</v>
      </c>
      <c r="O119" s="100">
        <v>8</v>
      </c>
      <c r="P119" s="100">
        <v>31</v>
      </c>
      <c r="Q119" s="100">
        <v>35</v>
      </c>
    </row>
    <row r="120" spans="1:17" x14ac:dyDescent="0.3">
      <c r="A120" s="100">
        <v>52</v>
      </c>
      <c r="B120" s="103" t="s">
        <v>596</v>
      </c>
      <c r="C120" s="103" t="s">
        <v>597</v>
      </c>
      <c r="D120" s="103">
        <v>213711</v>
      </c>
      <c r="E120" s="103" t="s">
        <v>608</v>
      </c>
      <c r="F120" s="18">
        <v>20</v>
      </c>
      <c r="G120" s="101">
        <v>213074</v>
      </c>
      <c r="H120" s="103" t="s">
        <v>608</v>
      </c>
      <c r="I120" s="100" t="s">
        <v>671</v>
      </c>
      <c r="J120" s="100">
        <v>2</v>
      </c>
      <c r="K120" s="104">
        <v>45112</v>
      </c>
      <c r="L120" s="100" t="s">
        <v>672</v>
      </c>
      <c r="M120" s="106">
        <v>45112.633726851855</v>
      </c>
      <c r="N120" s="100">
        <v>8</v>
      </c>
      <c r="O120" s="100">
        <v>8</v>
      </c>
      <c r="P120" s="100">
        <v>32</v>
      </c>
      <c r="Q120" s="100">
        <v>36</v>
      </c>
    </row>
    <row r="121" spans="1:17" x14ac:dyDescent="0.3">
      <c r="A121" s="100">
        <v>53</v>
      </c>
      <c r="B121" s="103" t="s">
        <v>596</v>
      </c>
      <c r="C121" s="103" t="s">
        <v>597</v>
      </c>
      <c r="D121" s="103">
        <v>213711</v>
      </c>
      <c r="E121" s="103" t="s">
        <v>608</v>
      </c>
      <c r="F121" s="18">
        <v>20</v>
      </c>
      <c r="G121" s="101">
        <v>213074</v>
      </c>
      <c r="H121" s="103" t="s">
        <v>608</v>
      </c>
      <c r="I121" s="100" t="s">
        <v>673</v>
      </c>
      <c r="J121" s="100">
        <v>2</v>
      </c>
      <c r="K121" s="104">
        <v>45112</v>
      </c>
      <c r="L121" s="100" t="s">
        <v>674</v>
      </c>
      <c r="M121" s="106">
        <v>45112.633993055555</v>
      </c>
      <c r="N121" s="100">
        <v>8</v>
      </c>
      <c r="O121" s="100">
        <v>8</v>
      </c>
      <c r="P121" s="100">
        <v>33</v>
      </c>
      <c r="Q121" s="100">
        <v>37</v>
      </c>
    </row>
    <row r="122" spans="1:17" x14ac:dyDescent="0.3">
      <c r="A122" s="100">
        <v>54</v>
      </c>
      <c r="B122" s="103" t="s">
        <v>596</v>
      </c>
      <c r="C122" s="103" t="s">
        <v>597</v>
      </c>
      <c r="D122" s="103">
        <v>213711</v>
      </c>
      <c r="E122" s="103" t="s">
        <v>608</v>
      </c>
      <c r="F122" s="18">
        <v>20</v>
      </c>
      <c r="G122" s="101">
        <v>213074</v>
      </c>
      <c r="H122" s="103" t="s">
        <v>608</v>
      </c>
      <c r="I122" s="100" t="s">
        <v>675</v>
      </c>
      <c r="J122" s="100">
        <v>2</v>
      </c>
      <c r="K122" s="104">
        <v>45112</v>
      </c>
      <c r="L122" s="100" t="s">
        <v>676</v>
      </c>
      <c r="M122" s="106">
        <v>45112.634513888886</v>
      </c>
      <c r="N122" s="100">
        <v>8</v>
      </c>
      <c r="O122" s="100">
        <v>8</v>
      </c>
      <c r="P122" s="100">
        <v>34</v>
      </c>
      <c r="Q122" s="100">
        <v>38</v>
      </c>
    </row>
    <row r="123" spans="1:17" x14ac:dyDescent="0.3">
      <c r="A123" s="100">
        <v>55</v>
      </c>
      <c r="B123" s="103" t="s">
        <v>596</v>
      </c>
      <c r="C123" s="103" t="s">
        <v>597</v>
      </c>
      <c r="D123" s="103">
        <v>213711</v>
      </c>
      <c r="E123" s="103" t="s">
        <v>608</v>
      </c>
      <c r="F123" s="18">
        <v>20</v>
      </c>
      <c r="G123" s="101">
        <v>213074</v>
      </c>
      <c r="H123" s="103" t="s">
        <v>608</v>
      </c>
      <c r="I123" s="100" t="s">
        <v>677</v>
      </c>
      <c r="J123" s="100">
        <v>2</v>
      </c>
      <c r="K123" s="104">
        <v>45112</v>
      </c>
      <c r="L123" s="100" t="s">
        <v>678</v>
      </c>
      <c r="M123" s="106">
        <v>45112.634965277779</v>
      </c>
      <c r="N123" s="100">
        <v>8</v>
      </c>
      <c r="O123" s="100">
        <v>8</v>
      </c>
      <c r="P123" s="100">
        <v>35</v>
      </c>
      <c r="Q123" s="100">
        <v>39</v>
      </c>
    </row>
    <row r="124" spans="1:17" x14ac:dyDescent="0.3">
      <c r="A124" s="100">
        <v>56</v>
      </c>
      <c r="B124" s="103" t="s">
        <v>596</v>
      </c>
      <c r="C124" s="103" t="s">
        <v>597</v>
      </c>
      <c r="D124" s="103">
        <v>213711</v>
      </c>
      <c r="E124" s="103" t="s">
        <v>608</v>
      </c>
      <c r="F124" s="18">
        <v>20</v>
      </c>
      <c r="G124" s="101">
        <v>213074</v>
      </c>
      <c r="H124" s="103" t="s">
        <v>608</v>
      </c>
      <c r="I124" s="100" t="s">
        <v>679</v>
      </c>
      <c r="J124" s="100">
        <v>1</v>
      </c>
      <c r="K124" s="104">
        <v>45112</v>
      </c>
      <c r="L124" s="100" t="s">
        <v>680</v>
      </c>
      <c r="M124" s="106">
        <v>45112.635312500002</v>
      </c>
      <c r="N124" s="100">
        <v>8</v>
      </c>
      <c r="O124" s="100">
        <v>8</v>
      </c>
      <c r="P124" s="100">
        <v>36</v>
      </c>
      <c r="Q124" s="100">
        <v>40</v>
      </c>
    </row>
    <row r="125" spans="1:17" x14ac:dyDescent="0.3">
      <c r="A125" s="100">
        <v>57</v>
      </c>
      <c r="B125" s="103" t="s">
        <v>596</v>
      </c>
      <c r="C125" s="103" t="s">
        <v>597</v>
      </c>
      <c r="D125" s="103">
        <v>213711</v>
      </c>
      <c r="E125" s="103" t="s">
        <v>608</v>
      </c>
      <c r="F125" s="18">
        <v>20</v>
      </c>
      <c r="G125" s="101">
        <v>213074</v>
      </c>
      <c r="H125" s="103" t="s">
        <v>608</v>
      </c>
      <c r="I125" s="100" t="s">
        <v>681</v>
      </c>
      <c r="J125" s="100">
        <v>1</v>
      </c>
      <c r="K125" s="104">
        <v>45112</v>
      </c>
      <c r="L125" s="100" t="s">
        <v>682</v>
      </c>
      <c r="M125" s="106">
        <v>45112.635682870372</v>
      </c>
      <c r="N125" s="100">
        <v>8</v>
      </c>
      <c r="O125" s="100">
        <v>8</v>
      </c>
      <c r="P125" s="100">
        <v>37</v>
      </c>
      <c r="Q125" s="100">
        <v>41</v>
      </c>
    </row>
    <row r="126" spans="1:17" x14ac:dyDescent="0.3">
      <c r="A126" s="100">
        <v>205</v>
      </c>
      <c r="B126" s="103" t="s">
        <v>596</v>
      </c>
      <c r="C126" s="103" t="s">
        <v>597</v>
      </c>
      <c r="D126" s="103">
        <v>213711</v>
      </c>
      <c r="E126" s="103" t="s">
        <v>608</v>
      </c>
      <c r="F126" s="18">
        <v>20</v>
      </c>
      <c r="G126" s="101">
        <v>213074</v>
      </c>
      <c r="H126" s="103" t="s">
        <v>608</v>
      </c>
      <c r="I126" s="100" t="s">
        <v>983</v>
      </c>
      <c r="J126" s="100">
        <v>1</v>
      </c>
      <c r="K126" s="104">
        <v>45113</v>
      </c>
      <c r="L126" s="100" t="s">
        <v>984</v>
      </c>
      <c r="M126" s="106">
        <v>45113.892812500002</v>
      </c>
      <c r="N126" s="100">
        <v>8</v>
      </c>
      <c r="O126" s="100">
        <v>8</v>
      </c>
      <c r="P126" s="100">
        <v>38</v>
      </c>
      <c r="Q126" s="100">
        <v>189</v>
      </c>
    </row>
    <row r="127" spans="1:17" x14ac:dyDescent="0.3">
      <c r="A127" s="100">
        <v>206</v>
      </c>
      <c r="B127" s="103" t="s">
        <v>596</v>
      </c>
      <c r="C127" s="103" t="s">
        <v>597</v>
      </c>
      <c r="D127" s="103">
        <v>213711</v>
      </c>
      <c r="E127" s="103" t="s">
        <v>608</v>
      </c>
      <c r="F127" s="18">
        <v>20</v>
      </c>
      <c r="G127" s="101">
        <v>213074</v>
      </c>
      <c r="H127" s="103" t="s">
        <v>608</v>
      </c>
      <c r="I127" s="100" t="s">
        <v>985</v>
      </c>
      <c r="J127" s="100">
        <v>1</v>
      </c>
      <c r="K127" s="104">
        <v>45113</v>
      </c>
      <c r="L127" s="100" t="s">
        <v>986</v>
      </c>
      <c r="M127" s="106">
        <v>45113.89329861111</v>
      </c>
      <c r="N127" s="100">
        <v>8</v>
      </c>
      <c r="O127" s="100">
        <v>8</v>
      </c>
      <c r="P127" s="100">
        <v>39</v>
      </c>
      <c r="Q127" s="100">
        <v>190</v>
      </c>
    </row>
    <row r="128" spans="1:17" x14ac:dyDescent="0.3">
      <c r="A128" s="100">
        <v>207</v>
      </c>
      <c r="B128" s="103" t="s">
        <v>596</v>
      </c>
      <c r="C128" s="103" t="s">
        <v>597</v>
      </c>
      <c r="D128" s="103">
        <v>213711</v>
      </c>
      <c r="E128" s="103" t="s">
        <v>608</v>
      </c>
      <c r="F128" s="18">
        <v>20</v>
      </c>
      <c r="G128" s="101">
        <v>213074</v>
      </c>
      <c r="H128" s="103" t="s">
        <v>608</v>
      </c>
      <c r="I128" s="100" t="s">
        <v>987</v>
      </c>
      <c r="J128" s="100">
        <v>2</v>
      </c>
      <c r="K128" s="104">
        <v>45113</v>
      </c>
      <c r="L128" s="100" t="s">
        <v>988</v>
      </c>
      <c r="M128" s="106">
        <v>45113.89340277778</v>
      </c>
      <c r="N128" s="100">
        <v>8</v>
      </c>
      <c r="O128" s="100">
        <v>8</v>
      </c>
      <c r="P128" s="100">
        <v>40</v>
      </c>
      <c r="Q128" s="100">
        <v>191</v>
      </c>
    </row>
    <row r="129" spans="1:17" x14ac:dyDescent="0.3">
      <c r="A129" s="100">
        <v>208</v>
      </c>
      <c r="B129" s="103" t="s">
        <v>596</v>
      </c>
      <c r="C129" s="103" t="s">
        <v>597</v>
      </c>
      <c r="D129" s="103">
        <v>213711</v>
      </c>
      <c r="E129" s="103" t="s">
        <v>608</v>
      </c>
      <c r="F129" s="18">
        <v>20</v>
      </c>
      <c r="G129" s="101">
        <v>213074</v>
      </c>
      <c r="H129" s="103" t="s">
        <v>608</v>
      </c>
      <c r="I129" s="100" t="s">
        <v>989</v>
      </c>
      <c r="J129" s="100">
        <v>1</v>
      </c>
      <c r="K129" s="104">
        <v>45113</v>
      </c>
      <c r="L129" s="100" t="s">
        <v>990</v>
      </c>
      <c r="M129" s="106">
        <v>45113.894155092596</v>
      </c>
      <c r="N129" s="100">
        <v>8</v>
      </c>
      <c r="O129" s="100">
        <v>8</v>
      </c>
      <c r="P129" s="100">
        <v>41</v>
      </c>
      <c r="Q129" s="100">
        <v>192</v>
      </c>
    </row>
    <row r="130" spans="1:17" x14ac:dyDescent="0.3">
      <c r="A130" s="100">
        <v>209</v>
      </c>
      <c r="B130" s="103" t="s">
        <v>596</v>
      </c>
      <c r="C130" s="103" t="s">
        <v>597</v>
      </c>
      <c r="D130" s="103">
        <v>213711</v>
      </c>
      <c r="E130" s="103" t="s">
        <v>608</v>
      </c>
      <c r="F130" s="18">
        <v>20</v>
      </c>
      <c r="G130" s="101">
        <v>213074</v>
      </c>
      <c r="H130" s="103" t="s">
        <v>608</v>
      </c>
      <c r="I130" s="100" t="s">
        <v>991</v>
      </c>
      <c r="J130" s="100">
        <v>1</v>
      </c>
      <c r="K130" s="104">
        <v>45113</v>
      </c>
      <c r="L130" s="100" t="s">
        <v>992</v>
      </c>
      <c r="M130" s="106">
        <v>45113.894490740742</v>
      </c>
      <c r="N130" s="100">
        <v>8</v>
      </c>
      <c r="O130" s="100">
        <v>8</v>
      </c>
      <c r="P130" s="100">
        <v>42</v>
      </c>
      <c r="Q130" s="100">
        <v>193</v>
      </c>
    </row>
    <row r="131" spans="1:17" x14ac:dyDescent="0.3">
      <c r="A131" s="100">
        <v>67</v>
      </c>
      <c r="B131" s="103" t="s">
        <v>356</v>
      </c>
      <c r="C131" s="103" t="s">
        <v>357</v>
      </c>
      <c r="D131" s="103">
        <v>213777</v>
      </c>
      <c r="E131" s="103" t="s">
        <v>254</v>
      </c>
      <c r="F131" s="18">
        <v>17</v>
      </c>
      <c r="G131" s="101">
        <v>202290</v>
      </c>
      <c r="H131" s="103" t="s">
        <v>254</v>
      </c>
      <c r="I131" s="100" t="s">
        <v>450</v>
      </c>
      <c r="J131" s="100">
        <v>1</v>
      </c>
      <c r="K131" s="104">
        <v>45112</v>
      </c>
      <c r="L131" s="100" t="s">
        <v>451</v>
      </c>
      <c r="M131" s="106">
        <v>45112.406307870369</v>
      </c>
      <c r="N131" s="100">
        <v>9</v>
      </c>
      <c r="O131" s="100">
        <v>9</v>
      </c>
      <c r="P131" s="100">
        <v>1</v>
      </c>
      <c r="Q131" s="100">
        <v>47</v>
      </c>
    </row>
    <row r="132" spans="1:17" x14ac:dyDescent="0.3">
      <c r="A132" s="100">
        <v>68</v>
      </c>
      <c r="B132" s="103" t="s">
        <v>356</v>
      </c>
      <c r="C132" s="103" t="s">
        <v>357</v>
      </c>
      <c r="D132" s="103">
        <v>213777</v>
      </c>
      <c r="E132" s="103" t="s">
        <v>254</v>
      </c>
      <c r="F132" s="18">
        <v>17</v>
      </c>
      <c r="G132" s="101">
        <v>202290</v>
      </c>
      <c r="H132" s="103" t="s">
        <v>254</v>
      </c>
      <c r="I132" s="100" t="s">
        <v>452</v>
      </c>
      <c r="J132" s="100">
        <v>2</v>
      </c>
      <c r="K132" s="104">
        <v>45112</v>
      </c>
      <c r="L132" s="100" t="s">
        <v>453</v>
      </c>
      <c r="M132" s="106">
        <v>45112.406331018516</v>
      </c>
      <c r="N132" s="100">
        <v>9</v>
      </c>
      <c r="O132" s="100">
        <v>9</v>
      </c>
      <c r="P132" s="100">
        <v>2</v>
      </c>
      <c r="Q132" s="100">
        <v>48</v>
      </c>
    </row>
    <row r="133" spans="1:17" x14ac:dyDescent="0.3">
      <c r="A133" s="100">
        <v>69</v>
      </c>
      <c r="B133" s="103" t="s">
        <v>356</v>
      </c>
      <c r="C133" s="103" t="s">
        <v>357</v>
      </c>
      <c r="D133" s="103">
        <v>213777</v>
      </c>
      <c r="E133" s="103" t="s">
        <v>254</v>
      </c>
      <c r="F133" s="18">
        <v>17</v>
      </c>
      <c r="G133" s="101">
        <v>202290</v>
      </c>
      <c r="H133" s="103" t="s">
        <v>254</v>
      </c>
      <c r="I133" s="100" t="s">
        <v>454</v>
      </c>
      <c r="J133" s="100">
        <v>4</v>
      </c>
      <c r="K133" s="104">
        <v>45112</v>
      </c>
      <c r="L133" s="100" t="s">
        <v>455</v>
      </c>
      <c r="M133" s="106">
        <v>45112.406967592593</v>
      </c>
      <c r="N133" s="100">
        <v>9</v>
      </c>
      <c r="O133" s="100">
        <v>9</v>
      </c>
      <c r="P133" s="100">
        <v>3</v>
      </c>
      <c r="Q133" s="100">
        <v>49</v>
      </c>
    </row>
    <row r="134" spans="1:17" x14ac:dyDescent="0.3">
      <c r="A134" s="100">
        <v>70</v>
      </c>
      <c r="B134" s="103" t="s">
        <v>356</v>
      </c>
      <c r="C134" s="103" t="s">
        <v>357</v>
      </c>
      <c r="D134" s="103">
        <v>213777</v>
      </c>
      <c r="E134" s="103" t="s">
        <v>254</v>
      </c>
      <c r="F134" s="18">
        <v>17</v>
      </c>
      <c r="G134" s="101">
        <v>202290</v>
      </c>
      <c r="H134" s="103" t="s">
        <v>254</v>
      </c>
      <c r="I134" s="100" t="s">
        <v>456</v>
      </c>
      <c r="J134" s="100">
        <v>2</v>
      </c>
      <c r="K134" s="104">
        <v>45112</v>
      </c>
      <c r="L134" s="100" t="s">
        <v>457</v>
      </c>
      <c r="M134" s="106">
        <v>45112.40724537037</v>
      </c>
      <c r="N134" s="100">
        <v>9</v>
      </c>
      <c r="O134" s="100">
        <v>9</v>
      </c>
      <c r="P134" s="100">
        <v>4</v>
      </c>
      <c r="Q134" s="100">
        <v>50</v>
      </c>
    </row>
    <row r="135" spans="1:17" x14ac:dyDescent="0.3">
      <c r="A135" s="100">
        <v>71</v>
      </c>
      <c r="B135" s="103" t="s">
        <v>356</v>
      </c>
      <c r="C135" s="103" t="s">
        <v>357</v>
      </c>
      <c r="D135" s="103">
        <v>213777</v>
      </c>
      <c r="E135" s="103" t="s">
        <v>254</v>
      </c>
      <c r="F135" s="18">
        <v>17</v>
      </c>
      <c r="G135" s="101">
        <v>202290</v>
      </c>
      <c r="H135" s="103" t="s">
        <v>254</v>
      </c>
      <c r="I135" s="100" t="s">
        <v>458</v>
      </c>
      <c r="J135" s="100">
        <v>1</v>
      </c>
      <c r="K135" s="104">
        <v>45112</v>
      </c>
      <c r="L135" s="100" t="s">
        <v>459</v>
      </c>
      <c r="M135" s="106">
        <v>45112.413425925923</v>
      </c>
      <c r="N135" s="100">
        <v>9</v>
      </c>
      <c r="O135" s="100">
        <v>9</v>
      </c>
      <c r="P135" s="100">
        <v>5</v>
      </c>
      <c r="Q135" s="100">
        <v>51</v>
      </c>
    </row>
    <row r="136" spans="1:17" x14ac:dyDescent="0.3">
      <c r="A136" s="100">
        <v>72</v>
      </c>
      <c r="B136" s="103" t="s">
        <v>356</v>
      </c>
      <c r="C136" s="103" t="s">
        <v>357</v>
      </c>
      <c r="D136" s="103">
        <v>213777</v>
      </c>
      <c r="E136" s="103" t="s">
        <v>254</v>
      </c>
      <c r="F136" s="18">
        <v>17</v>
      </c>
      <c r="G136" s="101">
        <v>202290</v>
      </c>
      <c r="H136" s="103" t="s">
        <v>254</v>
      </c>
      <c r="I136" s="100" t="s">
        <v>460</v>
      </c>
      <c r="J136" s="100">
        <v>3</v>
      </c>
      <c r="K136" s="104">
        <v>45112</v>
      </c>
      <c r="L136" s="100" t="s">
        <v>461</v>
      </c>
      <c r="M136" s="106">
        <v>45112.599062499998</v>
      </c>
      <c r="N136" s="100">
        <v>9</v>
      </c>
      <c r="O136" s="100">
        <v>9</v>
      </c>
      <c r="P136" s="100">
        <v>6</v>
      </c>
      <c r="Q136" s="100">
        <v>52</v>
      </c>
    </row>
    <row r="137" spans="1:17" x14ac:dyDescent="0.3">
      <c r="A137" s="100">
        <v>73</v>
      </c>
      <c r="B137" s="103" t="s">
        <v>356</v>
      </c>
      <c r="C137" s="103" t="s">
        <v>357</v>
      </c>
      <c r="D137" s="103">
        <v>213777</v>
      </c>
      <c r="E137" s="103" t="s">
        <v>254</v>
      </c>
      <c r="F137" s="18">
        <v>17</v>
      </c>
      <c r="G137" s="101">
        <v>202290</v>
      </c>
      <c r="H137" s="103" t="s">
        <v>254</v>
      </c>
      <c r="I137" s="100" t="s">
        <v>462</v>
      </c>
      <c r="J137" s="100">
        <v>1</v>
      </c>
      <c r="K137" s="104">
        <v>45112</v>
      </c>
      <c r="L137" s="100" t="s">
        <v>463</v>
      </c>
      <c r="M137" s="106">
        <v>45112.600243055553</v>
      </c>
      <c r="N137" s="100">
        <v>9</v>
      </c>
      <c r="O137" s="100">
        <v>9</v>
      </c>
      <c r="P137" s="100">
        <v>7</v>
      </c>
      <c r="Q137" s="100">
        <v>53</v>
      </c>
    </row>
    <row r="138" spans="1:17" x14ac:dyDescent="0.3">
      <c r="A138" s="100">
        <v>74</v>
      </c>
      <c r="B138" s="103" t="s">
        <v>356</v>
      </c>
      <c r="C138" s="103" t="s">
        <v>357</v>
      </c>
      <c r="D138" s="103">
        <v>213777</v>
      </c>
      <c r="E138" s="103" t="s">
        <v>254</v>
      </c>
      <c r="F138" s="18">
        <v>17</v>
      </c>
      <c r="G138" s="101">
        <v>202290</v>
      </c>
      <c r="H138" s="103" t="s">
        <v>254</v>
      </c>
      <c r="I138" s="100" t="s">
        <v>464</v>
      </c>
      <c r="J138" s="100">
        <v>1</v>
      </c>
      <c r="K138" s="104">
        <v>45112</v>
      </c>
      <c r="L138" s="100" t="s">
        <v>465</v>
      </c>
      <c r="M138" s="106">
        <v>45112.601863425924</v>
      </c>
      <c r="N138" s="100">
        <v>9</v>
      </c>
      <c r="O138" s="100">
        <v>9</v>
      </c>
      <c r="P138" s="100">
        <v>8</v>
      </c>
      <c r="Q138" s="100">
        <v>54</v>
      </c>
    </row>
    <row r="139" spans="1:17" x14ac:dyDescent="0.3">
      <c r="A139" s="100">
        <v>75</v>
      </c>
      <c r="B139" s="103" t="s">
        <v>356</v>
      </c>
      <c r="C139" s="103" t="s">
        <v>357</v>
      </c>
      <c r="D139" s="103">
        <v>213777</v>
      </c>
      <c r="E139" s="103" t="s">
        <v>254</v>
      </c>
      <c r="F139" s="18">
        <v>17</v>
      </c>
      <c r="G139" s="101">
        <v>202290</v>
      </c>
      <c r="H139" s="103" t="s">
        <v>254</v>
      </c>
      <c r="I139" s="100" t="s">
        <v>466</v>
      </c>
      <c r="J139" s="100">
        <v>1</v>
      </c>
      <c r="K139" s="104">
        <v>45112</v>
      </c>
      <c r="L139" s="100" t="s">
        <v>467</v>
      </c>
      <c r="M139" s="106">
        <v>45112.603009259263</v>
      </c>
      <c r="N139" s="100">
        <v>9</v>
      </c>
      <c r="O139" s="100">
        <v>9</v>
      </c>
      <c r="P139" s="100">
        <v>9</v>
      </c>
      <c r="Q139" s="100">
        <v>55</v>
      </c>
    </row>
    <row r="140" spans="1:17" x14ac:dyDescent="0.3">
      <c r="A140" s="100">
        <v>76</v>
      </c>
      <c r="B140" s="103" t="s">
        <v>356</v>
      </c>
      <c r="C140" s="103" t="s">
        <v>357</v>
      </c>
      <c r="D140" s="103">
        <v>213777</v>
      </c>
      <c r="E140" s="103" t="s">
        <v>254</v>
      </c>
      <c r="F140" s="18">
        <v>17</v>
      </c>
      <c r="G140" s="101">
        <v>202290</v>
      </c>
      <c r="H140" s="103" t="s">
        <v>254</v>
      </c>
      <c r="I140" s="100" t="s">
        <v>468</v>
      </c>
      <c r="J140" s="100">
        <v>2</v>
      </c>
      <c r="K140" s="104">
        <v>45112</v>
      </c>
      <c r="L140" s="100" t="s">
        <v>469</v>
      </c>
      <c r="M140" s="106">
        <v>45112.603449074071</v>
      </c>
      <c r="N140" s="100">
        <v>9</v>
      </c>
      <c r="O140" s="100">
        <v>9</v>
      </c>
      <c r="P140" s="100">
        <v>10</v>
      </c>
      <c r="Q140" s="100">
        <v>56</v>
      </c>
    </row>
    <row r="141" spans="1:17" x14ac:dyDescent="0.3">
      <c r="A141" s="100">
        <v>46</v>
      </c>
      <c r="B141" s="103" t="s">
        <v>184</v>
      </c>
      <c r="C141" s="103" t="s">
        <v>81</v>
      </c>
      <c r="D141" s="103">
        <v>213665</v>
      </c>
      <c r="E141" s="103" t="s">
        <v>254</v>
      </c>
      <c r="F141" s="18">
        <v>17</v>
      </c>
      <c r="G141" s="101">
        <v>202290</v>
      </c>
      <c r="H141" s="103" t="s">
        <v>254</v>
      </c>
      <c r="I141" s="100" t="s">
        <v>255</v>
      </c>
      <c r="J141" s="100">
        <v>1</v>
      </c>
      <c r="K141" s="104">
        <v>45114</v>
      </c>
      <c r="L141" s="100" t="s">
        <v>256</v>
      </c>
      <c r="M141" s="106">
        <v>45114.008796296293</v>
      </c>
      <c r="N141" s="100">
        <v>9</v>
      </c>
      <c r="O141" s="100">
        <v>9</v>
      </c>
      <c r="P141" s="100">
        <v>11</v>
      </c>
      <c r="Q141" s="100">
        <v>31</v>
      </c>
    </row>
    <row r="142" spans="1:17" x14ac:dyDescent="0.3">
      <c r="A142" s="100">
        <v>100</v>
      </c>
      <c r="B142" s="103" t="s">
        <v>356</v>
      </c>
      <c r="C142" s="103" t="s">
        <v>357</v>
      </c>
      <c r="D142" s="103">
        <v>213777</v>
      </c>
      <c r="E142" s="103" t="s">
        <v>254</v>
      </c>
      <c r="F142" s="18">
        <v>17</v>
      </c>
      <c r="G142" s="101">
        <v>202290</v>
      </c>
      <c r="H142" s="103" t="s">
        <v>254</v>
      </c>
      <c r="I142" s="100" t="s">
        <v>519</v>
      </c>
      <c r="J142" s="100">
        <v>1</v>
      </c>
      <c r="K142" s="104">
        <v>45114</v>
      </c>
      <c r="L142" s="100" t="s">
        <v>520</v>
      </c>
      <c r="M142" s="106">
        <v>45114.047384259262</v>
      </c>
      <c r="N142" s="100">
        <v>9</v>
      </c>
      <c r="O142" s="100">
        <v>9</v>
      </c>
      <c r="P142" s="100">
        <v>12</v>
      </c>
      <c r="Q142" s="100">
        <v>80</v>
      </c>
    </row>
    <row r="143" spans="1:17" x14ac:dyDescent="0.3">
      <c r="A143" s="100">
        <v>50</v>
      </c>
      <c r="B143" s="103" t="s">
        <v>184</v>
      </c>
      <c r="C143" s="103" t="s">
        <v>81</v>
      </c>
      <c r="D143" s="103">
        <v>213665</v>
      </c>
      <c r="E143" s="103" t="s">
        <v>254</v>
      </c>
      <c r="F143" s="18">
        <v>17</v>
      </c>
      <c r="G143" s="101">
        <v>202290</v>
      </c>
      <c r="H143" s="103" t="s">
        <v>254</v>
      </c>
      <c r="I143" s="100" t="s">
        <v>264</v>
      </c>
      <c r="J143" s="100">
        <v>2</v>
      </c>
      <c r="K143" s="104">
        <v>45114</v>
      </c>
      <c r="L143" s="100" t="s">
        <v>265</v>
      </c>
      <c r="M143" s="106">
        <v>45114.056064814817</v>
      </c>
      <c r="N143" s="100">
        <v>9</v>
      </c>
      <c r="O143" s="100">
        <v>9</v>
      </c>
      <c r="P143" s="100">
        <v>13</v>
      </c>
      <c r="Q143" s="100">
        <v>35</v>
      </c>
    </row>
    <row r="144" spans="1:17" x14ac:dyDescent="0.3">
      <c r="A144" s="100">
        <v>104</v>
      </c>
      <c r="B144" s="103" t="s">
        <v>356</v>
      </c>
      <c r="C144" s="103" t="s">
        <v>357</v>
      </c>
      <c r="D144" s="103">
        <v>213777</v>
      </c>
      <c r="E144" s="103" t="s">
        <v>254</v>
      </c>
      <c r="F144" s="18">
        <v>17</v>
      </c>
      <c r="G144" s="101">
        <v>202290</v>
      </c>
      <c r="H144" s="103" t="s">
        <v>254</v>
      </c>
      <c r="I144" s="100" t="s">
        <v>527</v>
      </c>
      <c r="J144" s="100">
        <v>1</v>
      </c>
      <c r="K144" s="104">
        <v>45114</v>
      </c>
      <c r="L144" s="100" t="s">
        <v>528</v>
      </c>
      <c r="M144" s="106">
        <v>45114.061168981483</v>
      </c>
      <c r="N144" s="100">
        <v>9</v>
      </c>
      <c r="O144" s="100">
        <v>9</v>
      </c>
      <c r="P144" s="100">
        <v>14</v>
      </c>
      <c r="Q144" s="100">
        <v>84</v>
      </c>
    </row>
    <row r="145" spans="1:17" x14ac:dyDescent="0.3">
      <c r="A145" s="100">
        <v>105</v>
      </c>
      <c r="B145" s="103" t="s">
        <v>356</v>
      </c>
      <c r="C145" s="103" t="s">
        <v>357</v>
      </c>
      <c r="D145" s="103">
        <v>213777</v>
      </c>
      <c r="E145" s="103" t="s">
        <v>254</v>
      </c>
      <c r="F145" s="18">
        <v>17</v>
      </c>
      <c r="G145" s="101">
        <v>202290</v>
      </c>
      <c r="H145" s="103" t="s">
        <v>254</v>
      </c>
      <c r="I145" s="100" t="s">
        <v>529</v>
      </c>
      <c r="J145" s="100">
        <v>1</v>
      </c>
      <c r="K145" s="104">
        <v>45114</v>
      </c>
      <c r="L145" s="100" t="s">
        <v>530</v>
      </c>
      <c r="M145" s="106">
        <v>45114.064618055556</v>
      </c>
      <c r="N145" s="100">
        <v>9</v>
      </c>
      <c r="O145" s="100">
        <v>9</v>
      </c>
      <c r="P145" s="100">
        <v>15</v>
      </c>
      <c r="Q145" s="100">
        <v>85</v>
      </c>
    </row>
    <row r="146" spans="1:17" x14ac:dyDescent="0.3">
      <c r="A146" s="100">
        <v>106</v>
      </c>
      <c r="B146" s="103" t="s">
        <v>356</v>
      </c>
      <c r="C146" s="103" t="s">
        <v>357</v>
      </c>
      <c r="D146" s="103">
        <v>213777</v>
      </c>
      <c r="E146" s="103" t="s">
        <v>254</v>
      </c>
      <c r="F146" s="18">
        <v>17</v>
      </c>
      <c r="G146" s="101">
        <v>202290</v>
      </c>
      <c r="H146" s="103" t="s">
        <v>254</v>
      </c>
      <c r="I146" s="100" t="s">
        <v>531</v>
      </c>
      <c r="J146" s="100">
        <v>1</v>
      </c>
      <c r="K146" s="104">
        <v>45114</v>
      </c>
      <c r="L146" s="100" t="s">
        <v>532</v>
      </c>
      <c r="M146" s="106">
        <v>45114.105231481481</v>
      </c>
      <c r="N146" s="100">
        <v>9</v>
      </c>
      <c r="O146" s="100">
        <v>9</v>
      </c>
      <c r="P146" s="100">
        <v>16</v>
      </c>
      <c r="Q146" s="100">
        <v>86</v>
      </c>
    </row>
    <row r="147" spans="1:17" x14ac:dyDescent="0.3">
      <c r="A147" s="100">
        <v>107</v>
      </c>
      <c r="B147" s="103" t="s">
        <v>356</v>
      </c>
      <c r="C147" s="103" t="s">
        <v>357</v>
      </c>
      <c r="D147" s="103">
        <v>213777</v>
      </c>
      <c r="E147" s="103" t="s">
        <v>254</v>
      </c>
      <c r="F147" s="18">
        <v>17</v>
      </c>
      <c r="G147" s="101">
        <v>202290</v>
      </c>
      <c r="H147" s="103" t="s">
        <v>254</v>
      </c>
      <c r="I147" s="100" t="s">
        <v>533</v>
      </c>
      <c r="J147" s="100">
        <v>1</v>
      </c>
      <c r="K147" s="104">
        <v>45114</v>
      </c>
      <c r="L147" s="100" t="s">
        <v>534</v>
      </c>
      <c r="M147" s="106">
        <v>45114.132245370369</v>
      </c>
      <c r="N147" s="100">
        <v>9</v>
      </c>
      <c r="O147" s="100">
        <v>9</v>
      </c>
      <c r="P147" s="100">
        <v>17</v>
      </c>
      <c r="Q147" s="100">
        <v>87</v>
      </c>
    </row>
    <row r="148" spans="1:17" x14ac:dyDescent="0.3">
      <c r="A148" s="100">
        <v>111</v>
      </c>
      <c r="B148" s="103" t="s">
        <v>356</v>
      </c>
      <c r="C148" s="103" t="s">
        <v>357</v>
      </c>
      <c r="D148" s="103">
        <v>213777</v>
      </c>
      <c r="E148" s="103" t="s">
        <v>254</v>
      </c>
      <c r="F148" s="18">
        <v>17</v>
      </c>
      <c r="G148" s="101">
        <v>202290</v>
      </c>
      <c r="H148" s="103" t="s">
        <v>254</v>
      </c>
      <c r="I148" s="100" t="s">
        <v>541</v>
      </c>
      <c r="J148" s="100">
        <v>1</v>
      </c>
      <c r="K148" s="104">
        <v>45114</v>
      </c>
      <c r="L148" s="100" t="s">
        <v>542</v>
      </c>
      <c r="M148" s="106">
        <v>45114.412766203706</v>
      </c>
      <c r="N148" s="100">
        <v>9</v>
      </c>
      <c r="O148" s="100">
        <v>9</v>
      </c>
      <c r="P148" s="100">
        <v>18</v>
      </c>
      <c r="Q148" s="100">
        <v>91</v>
      </c>
    </row>
    <row r="149" spans="1:17" x14ac:dyDescent="0.3">
      <c r="A149" s="100">
        <v>112</v>
      </c>
      <c r="B149" s="103" t="s">
        <v>356</v>
      </c>
      <c r="C149" s="103" t="s">
        <v>357</v>
      </c>
      <c r="D149" s="103">
        <v>213777</v>
      </c>
      <c r="E149" s="103" t="s">
        <v>254</v>
      </c>
      <c r="F149" s="18">
        <v>17</v>
      </c>
      <c r="G149" s="101">
        <v>202290</v>
      </c>
      <c r="H149" s="103" t="s">
        <v>254</v>
      </c>
      <c r="I149" s="100" t="s">
        <v>543</v>
      </c>
      <c r="J149" s="100">
        <v>0</v>
      </c>
      <c r="K149" s="104">
        <v>45114</v>
      </c>
      <c r="L149" s="100" t="s">
        <v>544</v>
      </c>
      <c r="M149" s="106">
        <v>45114.448020833333</v>
      </c>
      <c r="N149" s="100">
        <v>9</v>
      </c>
      <c r="O149" s="100">
        <v>9</v>
      </c>
      <c r="P149" s="100">
        <v>19</v>
      </c>
      <c r="Q149" s="100">
        <v>92</v>
      </c>
    </row>
    <row r="150" spans="1:17" x14ac:dyDescent="0.3">
      <c r="A150" s="100">
        <v>17</v>
      </c>
      <c r="B150" s="103" t="s">
        <v>555</v>
      </c>
      <c r="C150" s="103" t="s">
        <v>556</v>
      </c>
      <c r="D150" s="103">
        <v>213668</v>
      </c>
      <c r="E150" s="103" t="s">
        <v>560</v>
      </c>
      <c r="F150" s="18">
        <v>29</v>
      </c>
      <c r="G150" s="101">
        <v>213348</v>
      </c>
      <c r="H150" s="103" t="s">
        <v>560</v>
      </c>
      <c r="I150" s="100" t="s">
        <v>561</v>
      </c>
      <c r="J150" s="100">
        <v>0</v>
      </c>
      <c r="K150" s="104">
        <v>45112</v>
      </c>
      <c r="L150" s="100" t="s">
        <v>562</v>
      </c>
      <c r="M150" s="106">
        <v>45112.481898148151</v>
      </c>
      <c r="N150" s="100">
        <v>10</v>
      </c>
      <c r="O150" s="100">
        <v>10</v>
      </c>
      <c r="P150" s="100">
        <v>1</v>
      </c>
      <c r="Q150" s="100">
        <v>2</v>
      </c>
    </row>
    <row r="151" spans="1:17" x14ac:dyDescent="0.3">
      <c r="A151" s="100">
        <v>18</v>
      </c>
      <c r="B151" s="103" t="s">
        <v>555</v>
      </c>
      <c r="C151" s="103" t="s">
        <v>556</v>
      </c>
      <c r="D151" s="103">
        <v>213668</v>
      </c>
      <c r="E151" s="103" t="s">
        <v>560</v>
      </c>
      <c r="F151" s="18">
        <v>29</v>
      </c>
      <c r="G151" s="101">
        <v>213348</v>
      </c>
      <c r="H151" s="103" t="s">
        <v>560</v>
      </c>
      <c r="I151" s="100" t="s">
        <v>563</v>
      </c>
      <c r="J151" s="100">
        <v>1</v>
      </c>
      <c r="K151" s="104">
        <v>45112</v>
      </c>
      <c r="L151" s="100" t="s">
        <v>564</v>
      </c>
      <c r="M151" s="106">
        <v>45112.49728009259</v>
      </c>
      <c r="N151" s="100">
        <v>10</v>
      </c>
      <c r="O151" s="100">
        <v>10</v>
      </c>
      <c r="P151" s="100">
        <v>2</v>
      </c>
      <c r="Q151" s="100">
        <v>3</v>
      </c>
    </row>
    <row r="152" spans="1:17" x14ac:dyDescent="0.3">
      <c r="A152" s="100">
        <v>19</v>
      </c>
      <c r="B152" s="103" t="s">
        <v>555</v>
      </c>
      <c r="C152" s="103" t="s">
        <v>556</v>
      </c>
      <c r="D152" s="103">
        <v>213668</v>
      </c>
      <c r="E152" s="103" t="s">
        <v>560</v>
      </c>
      <c r="F152" s="18">
        <v>29</v>
      </c>
      <c r="G152" s="101">
        <v>213348</v>
      </c>
      <c r="H152" s="103" t="s">
        <v>560</v>
      </c>
      <c r="I152" s="100" t="s">
        <v>565</v>
      </c>
      <c r="J152" s="100">
        <v>1</v>
      </c>
      <c r="K152" s="104">
        <v>45112</v>
      </c>
      <c r="L152" s="100" t="s">
        <v>566</v>
      </c>
      <c r="M152" s="106">
        <v>45112.497569444444</v>
      </c>
      <c r="N152" s="100">
        <v>10</v>
      </c>
      <c r="O152" s="100">
        <v>10</v>
      </c>
      <c r="P152" s="100">
        <v>3</v>
      </c>
      <c r="Q152" s="100">
        <v>4</v>
      </c>
    </row>
    <row r="153" spans="1:17" x14ac:dyDescent="0.3">
      <c r="A153" s="100">
        <v>20</v>
      </c>
      <c r="B153" s="103" t="s">
        <v>555</v>
      </c>
      <c r="C153" s="103" t="s">
        <v>556</v>
      </c>
      <c r="D153" s="103">
        <v>213668</v>
      </c>
      <c r="E153" s="103" t="s">
        <v>560</v>
      </c>
      <c r="F153" s="18">
        <v>29</v>
      </c>
      <c r="G153" s="101">
        <v>213348</v>
      </c>
      <c r="H153" s="103" t="s">
        <v>560</v>
      </c>
      <c r="I153" s="100" t="s">
        <v>567</v>
      </c>
      <c r="J153" s="100">
        <v>2</v>
      </c>
      <c r="K153" s="104">
        <v>45112</v>
      </c>
      <c r="L153" s="100" t="s">
        <v>568</v>
      </c>
      <c r="M153" s="106">
        <v>45112.497708333336</v>
      </c>
      <c r="N153" s="100">
        <v>10</v>
      </c>
      <c r="O153" s="100">
        <v>10</v>
      </c>
      <c r="P153" s="100">
        <v>4</v>
      </c>
      <c r="Q153" s="100">
        <v>5</v>
      </c>
    </row>
    <row r="154" spans="1:17" x14ac:dyDescent="0.3">
      <c r="A154" s="100">
        <v>21</v>
      </c>
      <c r="B154" s="103" t="s">
        <v>555</v>
      </c>
      <c r="C154" s="103" t="s">
        <v>556</v>
      </c>
      <c r="D154" s="103">
        <v>213668</v>
      </c>
      <c r="E154" s="103" t="s">
        <v>560</v>
      </c>
      <c r="F154" s="18">
        <v>29</v>
      </c>
      <c r="G154" s="101">
        <v>213348</v>
      </c>
      <c r="H154" s="103" t="s">
        <v>560</v>
      </c>
      <c r="I154" s="100" t="s">
        <v>569</v>
      </c>
      <c r="J154" s="100">
        <v>1</v>
      </c>
      <c r="K154" s="104">
        <v>45112</v>
      </c>
      <c r="L154" s="100" t="s">
        <v>570</v>
      </c>
      <c r="M154" s="106">
        <v>45112.49895833333</v>
      </c>
      <c r="N154" s="100">
        <v>10</v>
      </c>
      <c r="O154" s="100">
        <v>10</v>
      </c>
      <c r="P154" s="100">
        <v>5</v>
      </c>
      <c r="Q154" s="100">
        <v>6</v>
      </c>
    </row>
    <row r="155" spans="1:17" x14ac:dyDescent="0.3">
      <c r="A155" s="100">
        <v>22</v>
      </c>
      <c r="B155" s="103" t="s">
        <v>555</v>
      </c>
      <c r="C155" s="103" t="s">
        <v>556</v>
      </c>
      <c r="D155" s="103">
        <v>213668</v>
      </c>
      <c r="E155" s="103" t="s">
        <v>560</v>
      </c>
      <c r="F155" s="18">
        <v>29</v>
      </c>
      <c r="G155" s="101">
        <v>213348</v>
      </c>
      <c r="H155" s="103" t="s">
        <v>560</v>
      </c>
      <c r="I155" s="100" t="s">
        <v>571</v>
      </c>
      <c r="J155" s="100">
        <v>2</v>
      </c>
      <c r="K155" s="104">
        <v>45112</v>
      </c>
      <c r="L155" s="100" t="s">
        <v>572</v>
      </c>
      <c r="M155" s="106">
        <v>45112.503240740742</v>
      </c>
      <c r="N155" s="100">
        <v>10</v>
      </c>
      <c r="O155" s="100">
        <v>10</v>
      </c>
      <c r="P155" s="100">
        <v>6</v>
      </c>
      <c r="Q155" s="100">
        <v>7</v>
      </c>
    </row>
    <row r="156" spans="1:17" x14ac:dyDescent="0.3">
      <c r="A156" s="100">
        <v>23</v>
      </c>
      <c r="B156" s="103" t="s">
        <v>555</v>
      </c>
      <c r="C156" s="103" t="s">
        <v>556</v>
      </c>
      <c r="D156" s="103">
        <v>213668</v>
      </c>
      <c r="E156" s="103" t="s">
        <v>560</v>
      </c>
      <c r="F156" s="18">
        <v>29</v>
      </c>
      <c r="G156" s="101">
        <v>213348</v>
      </c>
      <c r="H156" s="103" t="s">
        <v>560</v>
      </c>
      <c r="I156" s="100" t="s">
        <v>573</v>
      </c>
      <c r="J156" s="100">
        <v>0</v>
      </c>
      <c r="K156" s="104">
        <v>45112</v>
      </c>
      <c r="L156" s="100" t="s">
        <v>83</v>
      </c>
      <c r="M156" s="106">
        <v>45112.512696759259</v>
      </c>
      <c r="N156" s="100">
        <v>10</v>
      </c>
      <c r="O156" s="100">
        <v>10</v>
      </c>
      <c r="P156" s="100">
        <v>7</v>
      </c>
      <c r="Q156" s="100">
        <v>8</v>
      </c>
    </row>
    <row r="157" spans="1:17" x14ac:dyDescent="0.3">
      <c r="A157" s="100">
        <v>24</v>
      </c>
      <c r="B157" s="103" t="s">
        <v>555</v>
      </c>
      <c r="C157" s="103" t="s">
        <v>556</v>
      </c>
      <c r="D157" s="103">
        <v>213668</v>
      </c>
      <c r="E157" s="103" t="s">
        <v>560</v>
      </c>
      <c r="F157" s="18">
        <v>29</v>
      </c>
      <c r="G157" s="101">
        <v>213348</v>
      </c>
      <c r="H157" s="103" t="s">
        <v>560</v>
      </c>
      <c r="I157" s="100" t="s">
        <v>574</v>
      </c>
      <c r="J157" s="100">
        <v>1</v>
      </c>
      <c r="K157" s="104">
        <v>45112</v>
      </c>
      <c r="L157" s="100" t="s">
        <v>575</v>
      </c>
      <c r="M157" s="106">
        <v>45112.54347222222</v>
      </c>
      <c r="N157" s="100">
        <v>10</v>
      </c>
      <c r="O157" s="100">
        <v>10</v>
      </c>
      <c r="P157" s="100">
        <v>8</v>
      </c>
      <c r="Q157" s="100">
        <v>9</v>
      </c>
    </row>
    <row r="158" spans="1:17" x14ac:dyDescent="0.3">
      <c r="A158" s="100">
        <v>25</v>
      </c>
      <c r="B158" s="103" t="s">
        <v>555</v>
      </c>
      <c r="C158" s="103" t="s">
        <v>556</v>
      </c>
      <c r="D158" s="103">
        <v>213668</v>
      </c>
      <c r="E158" s="103" t="s">
        <v>560</v>
      </c>
      <c r="F158" s="18">
        <v>29</v>
      </c>
      <c r="G158" s="101">
        <v>213348</v>
      </c>
      <c r="H158" s="103" t="s">
        <v>560</v>
      </c>
      <c r="I158" s="100" t="s">
        <v>576</v>
      </c>
      <c r="J158" s="100">
        <v>1</v>
      </c>
      <c r="K158" s="104">
        <v>45112</v>
      </c>
      <c r="L158" s="100" t="s">
        <v>577</v>
      </c>
      <c r="M158" s="106">
        <v>45112.543495370373</v>
      </c>
      <c r="N158" s="100">
        <v>10</v>
      </c>
      <c r="O158" s="100">
        <v>10</v>
      </c>
      <c r="P158" s="100">
        <v>9</v>
      </c>
      <c r="Q158" s="100">
        <v>10</v>
      </c>
    </row>
    <row r="159" spans="1:17" x14ac:dyDescent="0.3">
      <c r="A159" s="100">
        <v>26</v>
      </c>
      <c r="B159" s="103" t="s">
        <v>555</v>
      </c>
      <c r="C159" s="103" t="s">
        <v>556</v>
      </c>
      <c r="D159" s="103">
        <v>213668</v>
      </c>
      <c r="E159" s="103" t="s">
        <v>560</v>
      </c>
      <c r="F159" s="18">
        <v>29</v>
      </c>
      <c r="G159" s="101">
        <v>213348</v>
      </c>
      <c r="H159" s="103" t="s">
        <v>560</v>
      </c>
      <c r="I159" s="100" t="s">
        <v>578</v>
      </c>
      <c r="J159" s="100">
        <v>1</v>
      </c>
      <c r="K159" s="104">
        <v>45112</v>
      </c>
      <c r="L159" s="100" t="s">
        <v>579</v>
      </c>
      <c r="M159" s="106">
        <v>45112.584583333337</v>
      </c>
      <c r="N159" s="100">
        <v>10</v>
      </c>
      <c r="O159" s="100">
        <v>10</v>
      </c>
      <c r="P159" s="100">
        <v>10</v>
      </c>
      <c r="Q159" s="100">
        <v>11</v>
      </c>
    </row>
    <row r="160" spans="1:17" x14ac:dyDescent="0.3">
      <c r="A160" s="100">
        <v>27</v>
      </c>
      <c r="B160" s="103" t="s">
        <v>555</v>
      </c>
      <c r="C160" s="103" t="s">
        <v>556</v>
      </c>
      <c r="D160" s="103">
        <v>213668</v>
      </c>
      <c r="E160" s="103" t="s">
        <v>560</v>
      </c>
      <c r="F160" s="18">
        <v>29</v>
      </c>
      <c r="G160" s="101">
        <v>213348</v>
      </c>
      <c r="H160" s="103" t="s">
        <v>560</v>
      </c>
      <c r="I160" s="100" t="s">
        <v>580</v>
      </c>
      <c r="J160" s="100">
        <v>1</v>
      </c>
      <c r="K160" s="104">
        <v>45112</v>
      </c>
      <c r="L160" s="100" t="s">
        <v>581</v>
      </c>
      <c r="M160" s="106">
        <v>45112.601030092592</v>
      </c>
      <c r="N160" s="100">
        <v>10</v>
      </c>
      <c r="O160" s="100">
        <v>10</v>
      </c>
      <c r="P160" s="100">
        <v>11</v>
      </c>
      <c r="Q160" s="100">
        <v>12</v>
      </c>
    </row>
    <row r="161" spans="1:17" x14ac:dyDescent="0.3">
      <c r="A161" s="100">
        <v>28</v>
      </c>
      <c r="B161" s="103" t="s">
        <v>555</v>
      </c>
      <c r="C161" s="103" t="s">
        <v>556</v>
      </c>
      <c r="D161" s="103">
        <v>213668</v>
      </c>
      <c r="E161" s="103" t="s">
        <v>560</v>
      </c>
      <c r="F161" s="18">
        <v>29</v>
      </c>
      <c r="G161" s="101">
        <v>213348</v>
      </c>
      <c r="H161" s="103" t="s">
        <v>560</v>
      </c>
      <c r="I161" s="100" t="s">
        <v>582</v>
      </c>
      <c r="J161" s="100">
        <v>1</v>
      </c>
      <c r="K161" s="104">
        <v>45112</v>
      </c>
      <c r="L161" s="100" t="s">
        <v>583</v>
      </c>
      <c r="M161" s="106">
        <v>45112.606539351851</v>
      </c>
      <c r="N161" s="100">
        <v>10</v>
      </c>
      <c r="O161" s="100">
        <v>10</v>
      </c>
      <c r="P161" s="100">
        <v>12</v>
      </c>
      <c r="Q161" s="100">
        <v>13</v>
      </c>
    </row>
    <row r="162" spans="1:17" x14ac:dyDescent="0.3">
      <c r="A162" s="100">
        <v>29</v>
      </c>
      <c r="B162" s="103" t="s">
        <v>555</v>
      </c>
      <c r="C162" s="103" t="s">
        <v>556</v>
      </c>
      <c r="D162" s="103">
        <v>213668</v>
      </c>
      <c r="E162" s="103" t="s">
        <v>560</v>
      </c>
      <c r="F162" s="18">
        <v>29</v>
      </c>
      <c r="G162" s="101">
        <v>213348</v>
      </c>
      <c r="H162" s="103" t="s">
        <v>560</v>
      </c>
      <c r="I162" s="100" t="s">
        <v>584</v>
      </c>
      <c r="J162" s="100">
        <v>1</v>
      </c>
      <c r="K162" s="104">
        <v>45112</v>
      </c>
      <c r="L162" s="100" t="s">
        <v>585</v>
      </c>
      <c r="M162" s="106">
        <v>45112.615416666667</v>
      </c>
      <c r="N162" s="100">
        <v>10</v>
      </c>
      <c r="O162" s="100">
        <v>10</v>
      </c>
      <c r="P162" s="100">
        <v>13</v>
      </c>
      <c r="Q162" s="100">
        <v>14</v>
      </c>
    </row>
    <row r="163" spans="1:17" x14ac:dyDescent="0.3">
      <c r="A163" s="100">
        <v>30</v>
      </c>
      <c r="B163" s="103" t="s">
        <v>555</v>
      </c>
      <c r="C163" s="103" t="s">
        <v>556</v>
      </c>
      <c r="D163" s="103">
        <v>213668</v>
      </c>
      <c r="E163" s="103" t="s">
        <v>560</v>
      </c>
      <c r="F163" s="18">
        <v>29</v>
      </c>
      <c r="G163" s="101">
        <v>213348</v>
      </c>
      <c r="H163" s="103" t="s">
        <v>560</v>
      </c>
      <c r="I163" s="100" t="s">
        <v>586</v>
      </c>
      <c r="J163" s="100">
        <v>1</v>
      </c>
      <c r="K163" s="104">
        <v>45112</v>
      </c>
      <c r="L163" s="100" t="s">
        <v>587</v>
      </c>
      <c r="M163" s="106">
        <v>45112.615694444445</v>
      </c>
      <c r="N163" s="100">
        <v>10</v>
      </c>
      <c r="O163" s="100">
        <v>10</v>
      </c>
      <c r="P163" s="100">
        <v>14</v>
      </c>
      <c r="Q163" s="100">
        <v>15</v>
      </c>
    </row>
    <row r="164" spans="1:17" x14ac:dyDescent="0.3">
      <c r="A164" s="100">
        <v>58</v>
      </c>
      <c r="B164" s="103" t="s">
        <v>596</v>
      </c>
      <c r="C164" s="103" t="s">
        <v>597</v>
      </c>
      <c r="D164" s="103">
        <v>213711</v>
      </c>
      <c r="E164" s="103" t="s">
        <v>560</v>
      </c>
      <c r="F164" s="18">
        <v>29</v>
      </c>
      <c r="G164" s="101">
        <v>213348</v>
      </c>
      <c r="H164" s="103" t="s">
        <v>560</v>
      </c>
      <c r="I164" s="100" t="s">
        <v>683</v>
      </c>
      <c r="J164" s="100">
        <v>0</v>
      </c>
      <c r="K164" s="104">
        <v>45112</v>
      </c>
      <c r="L164" s="100" t="s">
        <v>684</v>
      </c>
      <c r="M164" s="106">
        <v>45112.637071759258</v>
      </c>
      <c r="N164" s="100">
        <v>10</v>
      </c>
      <c r="O164" s="100">
        <v>10</v>
      </c>
      <c r="P164" s="100">
        <v>15</v>
      </c>
      <c r="Q164" s="100">
        <v>42</v>
      </c>
    </row>
    <row r="165" spans="1:17" x14ac:dyDescent="0.3">
      <c r="A165" s="100">
        <v>59</v>
      </c>
      <c r="B165" s="103" t="s">
        <v>596</v>
      </c>
      <c r="C165" s="103" t="s">
        <v>597</v>
      </c>
      <c r="D165" s="103">
        <v>213711</v>
      </c>
      <c r="E165" s="103" t="s">
        <v>560</v>
      </c>
      <c r="F165" s="18">
        <v>29</v>
      </c>
      <c r="G165" s="101">
        <v>213348</v>
      </c>
      <c r="H165" s="103" t="s">
        <v>560</v>
      </c>
      <c r="I165" s="100" t="s">
        <v>685</v>
      </c>
      <c r="J165" s="100">
        <v>1</v>
      </c>
      <c r="K165" s="104">
        <v>45112</v>
      </c>
      <c r="L165" s="100" t="s">
        <v>686</v>
      </c>
      <c r="M165" s="106">
        <v>45112.637731481482</v>
      </c>
      <c r="N165" s="100">
        <v>10</v>
      </c>
      <c r="O165" s="100">
        <v>10</v>
      </c>
      <c r="P165" s="100">
        <v>16</v>
      </c>
      <c r="Q165" s="100">
        <v>43</v>
      </c>
    </row>
    <row r="166" spans="1:17" x14ac:dyDescent="0.3">
      <c r="A166" s="100">
        <v>60</v>
      </c>
      <c r="B166" s="103" t="s">
        <v>596</v>
      </c>
      <c r="C166" s="103" t="s">
        <v>597</v>
      </c>
      <c r="D166" s="103">
        <v>213711</v>
      </c>
      <c r="E166" s="103" t="s">
        <v>560</v>
      </c>
      <c r="F166" s="18">
        <v>29</v>
      </c>
      <c r="G166" s="101">
        <v>213348</v>
      </c>
      <c r="H166" s="103" t="s">
        <v>560</v>
      </c>
      <c r="I166" s="100" t="s">
        <v>687</v>
      </c>
      <c r="J166" s="100">
        <v>2</v>
      </c>
      <c r="K166" s="104">
        <v>45112</v>
      </c>
      <c r="L166" s="100" t="s">
        <v>688</v>
      </c>
      <c r="M166" s="106">
        <v>45112.637777777774</v>
      </c>
      <c r="N166" s="100">
        <v>10</v>
      </c>
      <c r="O166" s="100">
        <v>10</v>
      </c>
      <c r="P166" s="100">
        <v>17</v>
      </c>
      <c r="Q166" s="100">
        <v>44</v>
      </c>
    </row>
    <row r="167" spans="1:17" x14ac:dyDescent="0.3">
      <c r="A167" s="100">
        <v>61</v>
      </c>
      <c r="B167" s="103" t="s">
        <v>596</v>
      </c>
      <c r="C167" s="103" t="s">
        <v>597</v>
      </c>
      <c r="D167" s="103">
        <v>213711</v>
      </c>
      <c r="E167" s="103" t="s">
        <v>560</v>
      </c>
      <c r="F167" s="18">
        <v>29</v>
      </c>
      <c r="G167" s="101">
        <v>213348</v>
      </c>
      <c r="H167" s="103" t="s">
        <v>560</v>
      </c>
      <c r="I167" s="100" t="s">
        <v>689</v>
      </c>
      <c r="J167" s="100">
        <v>2</v>
      </c>
      <c r="K167" s="104">
        <v>45112</v>
      </c>
      <c r="L167" s="100" t="s">
        <v>690</v>
      </c>
      <c r="M167" s="106">
        <v>45112.638182870367</v>
      </c>
      <c r="N167" s="100">
        <v>10</v>
      </c>
      <c r="O167" s="100">
        <v>10</v>
      </c>
      <c r="P167" s="100">
        <v>18</v>
      </c>
      <c r="Q167" s="100">
        <v>45</v>
      </c>
    </row>
    <row r="168" spans="1:17" x14ac:dyDescent="0.3">
      <c r="A168" s="100">
        <v>62</v>
      </c>
      <c r="B168" s="103" t="s">
        <v>596</v>
      </c>
      <c r="C168" s="103" t="s">
        <v>597</v>
      </c>
      <c r="D168" s="103">
        <v>213711</v>
      </c>
      <c r="E168" s="103" t="s">
        <v>560</v>
      </c>
      <c r="F168" s="18">
        <v>29</v>
      </c>
      <c r="G168" s="101">
        <v>213348</v>
      </c>
      <c r="H168" s="103" t="s">
        <v>560</v>
      </c>
      <c r="I168" s="100" t="s">
        <v>691</v>
      </c>
      <c r="J168" s="100">
        <v>2</v>
      </c>
      <c r="K168" s="104">
        <v>45112</v>
      </c>
      <c r="L168" s="100" t="s">
        <v>692</v>
      </c>
      <c r="M168" s="106">
        <v>45112.640497685185</v>
      </c>
      <c r="N168" s="100">
        <v>10</v>
      </c>
      <c r="O168" s="100">
        <v>10</v>
      </c>
      <c r="P168" s="100">
        <v>19</v>
      </c>
      <c r="Q168" s="100">
        <v>46</v>
      </c>
    </row>
    <row r="169" spans="1:17" x14ac:dyDescent="0.3">
      <c r="A169" s="100">
        <v>63</v>
      </c>
      <c r="B169" s="103" t="s">
        <v>596</v>
      </c>
      <c r="C169" s="103" t="s">
        <v>597</v>
      </c>
      <c r="D169" s="103">
        <v>213711</v>
      </c>
      <c r="E169" s="103" t="s">
        <v>560</v>
      </c>
      <c r="F169" s="18">
        <v>29</v>
      </c>
      <c r="G169" s="101">
        <v>213348</v>
      </c>
      <c r="H169" s="103" t="s">
        <v>560</v>
      </c>
      <c r="I169" s="100" t="s">
        <v>693</v>
      </c>
      <c r="J169" s="100">
        <v>1</v>
      </c>
      <c r="K169" s="104">
        <v>45112</v>
      </c>
      <c r="L169" s="100" t="s">
        <v>694</v>
      </c>
      <c r="M169" s="106">
        <v>45112.640613425923</v>
      </c>
      <c r="N169" s="100">
        <v>10</v>
      </c>
      <c r="O169" s="100">
        <v>10</v>
      </c>
      <c r="P169" s="100">
        <v>20</v>
      </c>
      <c r="Q169" s="100">
        <v>47</v>
      </c>
    </row>
    <row r="170" spans="1:17" x14ac:dyDescent="0.3">
      <c r="A170" s="100">
        <v>64</v>
      </c>
      <c r="B170" s="103" t="s">
        <v>596</v>
      </c>
      <c r="C170" s="103" t="s">
        <v>597</v>
      </c>
      <c r="D170" s="103">
        <v>213711</v>
      </c>
      <c r="E170" s="103" t="s">
        <v>560</v>
      </c>
      <c r="F170" s="18">
        <v>29</v>
      </c>
      <c r="G170" s="101">
        <v>213348</v>
      </c>
      <c r="H170" s="103" t="s">
        <v>560</v>
      </c>
      <c r="I170" s="100" t="s">
        <v>695</v>
      </c>
      <c r="J170" s="100">
        <v>1</v>
      </c>
      <c r="K170" s="104">
        <v>45112</v>
      </c>
      <c r="L170" s="100" t="s">
        <v>696</v>
      </c>
      <c r="M170" s="106">
        <v>45112.663032407407</v>
      </c>
      <c r="N170" s="100">
        <v>10</v>
      </c>
      <c r="O170" s="100">
        <v>10</v>
      </c>
      <c r="P170" s="100">
        <v>21</v>
      </c>
      <c r="Q170" s="100">
        <v>48</v>
      </c>
    </row>
    <row r="171" spans="1:17" x14ac:dyDescent="0.3">
      <c r="A171" s="100">
        <v>65</v>
      </c>
      <c r="B171" s="103" t="s">
        <v>596</v>
      </c>
      <c r="C171" s="103" t="s">
        <v>597</v>
      </c>
      <c r="D171" s="103">
        <v>213711</v>
      </c>
      <c r="E171" s="103" t="s">
        <v>560</v>
      </c>
      <c r="F171" s="18">
        <v>29</v>
      </c>
      <c r="G171" s="101">
        <v>213348</v>
      </c>
      <c r="H171" s="103" t="s">
        <v>560</v>
      </c>
      <c r="I171" s="100" t="s">
        <v>697</v>
      </c>
      <c r="J171" s="100">
        <v>3</v>
      </c>
      <c r="K171" s="104">
        <v>45112</v>
      </c>
      <c r="L171" s="100" t="s">
        <v>698</v>
      </c>
      <c r="M171" s="106">
        <v>45112.663101851853</v>
      </c>
      <c r="N171" s="100">
        <v>10</v>
      </c>
      <c r="O171" s="100">
        <v>10</v>
      </c>
      <c r="P171" s="100">
        <v>22</v>
      </c>
      <c r="Q171" s="100">
        <v>49</v>
      </c>
    </row>
    <row r="172" spans="1:17" x14ac:dyDescent="0.3">
      <c r="A172" s="100">
        <v>66</v>
      </c>
      <c r="B172" s="103" t="s">
        <v>596</v>
      </c>
      <c r="C172" s="103" t="s">
        <v>597</v>
      </c>
      <c r="D172" s="103">
        <v>213711</v>
      </c>
      <c r="E172" s="103" t="s">
        <v>560</v>
      </c>
      <c r="F172" s="18">
        <v>29</v>
      </c>
      <c r="G172" s="101">
        <v>213348</v>
      </c>
      <c r="H172" s="103" t="s">
        <v>560</v>
      </c>
      <c r="I172" s="100" t="s">
        <v>699</v>
      </c>
      <c r="J172" s="100">
        <v>1</v>
      </c>
      <c r="K172" s="104">
        <v>45112</v>
      </c>
      <c r="L172" s="100" t="s">
        <v>700</v>
      </c>
      <c r="M172" s="106">
        <v>45112.663263888891</v>
      </c>
      <c r="N172" s="100">
        <v>10</v>
      </c>
      <c r="O172" s="100">
        <v>10</v>
      </c>
      <c r="P172" s="100">
        <v>23</v>
      </c>
      <c r="Q172" s="100">
        <v>50</v>
      </c>
    </row>
    <row r="173" spans="1:17" x14ac:dyDescent="0.3">
      <c r="A173" s="100">
        <v>67</v>
      </c>
      <c r="B173" s="103" t="s">
        <v>596</v>
      </c>
      <c r="C173" s="103" t="s">
        <v>597</v>
      </c>
      <c r="D173" s="103">
        <v>213711</v>
      </c>
      <c r="E173" s="103" t="s">
        <v>560</v>
      </c>
      <c r="F173" s="18">
        <v>29</v>
      </c>
      <c r="G173" s="101">
        <v>213348</v>
      </c>
      <c r="H173" s="103" t="s">
        <v>560</v>
      </c>
      <c r="I173" s="100" t="s">
        <v>701</v>
      </c>
      <c r="J173" s="100">
        <v>2</v>
      </c>
      <c r="K173" s="104">
        <v>45112</v>
      </c>
      <c r="L173" s="100" t="s">
        <v>702</v>
      </c>
      <c r="M173" s="106">
        <v>45112.68608796296</v>
      </c>
      <c r="N173" s="100">
        <v>10</v>
      </c>
      <c r="O173" s="100">
        <v>10</v>
      </c>
      <c r="P173" s="100">
        <v>24</v>
      </c>
      <c r="Q173" s="100">
        <v>51</v>
      </c>
    </row>
    <row r="174" spans="1:17" x14ac:dyDescent="0.3">
      <c r="A174" s="100">
        <v>68</v>
      </c>
      <c r="B174" s="103" t="s">
        <v>596</v>
      </c>
      <c r="C174" s="103" t="s">
        <v>597</v>
      </c>
      <c r="D174" s="103">
        <v>213711</v>
      </c>
      <c r="E174" s="103" t="s">
        <v>560</v>
      </c>
      <c r="F174" s="18">
        <v>29</v>
      </c>
      <c r="G174" s="101">
        <v>213348</v>
      </c>
      <c r="H174" s="103" t="s">
        <v>560</v>
      </c>
      <c r="I174" s="100" t="s">
        <v>703</v>
      </c>
      <c r="J174" s="100">
        <v>2</v>
      </c>
      <c r="K174" s="104">
        <v>45112</v>
      </c>
      <c r="L174" s="100" t="s">
        <v>704</v>
      </c>
      <c r="M174" s="106">
        <v>45112.68644675926</v>
      </c>
      <c r="N174" s="100">
        <v>10</v>
      </c>
      <c r="O174" s="100">
        <v>10</v>
      </c>
      <c r="P174" s="100">
        <v>25</v>
      </c>
      <c r="Q174" s="100">
        <v>52</v>
      </c>
    </row>
    <row r="175" spans="1:17" x14ac:dyDescent="0.3">
      <c r="A175" s="100">
        <v>69</v>
      </c>
      <c r="B175" s="103" t="s">
        <v>596</v>
      </c>
      <c r="C175" s="103" t="s">
        <v>597</v>
      </c>
      <c r="D175" s="103">
        <v>213711</v>
      </c>
      <c r="E175" s="103" t="s">
        <v>560</v>
      </c>
      <c r="F175" s="18">
        <v>29</v>
      </c>
      <c r="G175" s="101">
        <v>213348</v>
      </c>
      <c r="H175" s="103" t="s">
        <v>560</v>
      </c>
      <c r="I175" s="100" t="s">
        <v>705</v>
      </c>
      <c r="J175" s="100">
        <v>1</v>
      </c>
      <c r="K175" s="104">
        <v>45112</v>
      </c>
      <c r="L175" s="100" t="s">
        <v>706</v>
      </c>
      <c r="M175" s="106">
        <v>45112.686631944445</v>
      </c>
      <c r="N175" s="100">
        <v>10</v>
      </c>
      <c r="O175" s="100">
        <v>10</v>
      </c>
      <c r="P175" s="100">
        <v>26</v>
      </c>
      <c r="Q175" s="100">
        <v>53</v>
      </c>
    </row>
    <row r="176" spans="1:17" x14ac:dyDescent="0.3">
      <c r="A176" s="100">
        <v>31</v>
      </c>
      <c r="B176" s="103" t="s">
        <v>555</v>
      </c>
      <c r="C176" s="103" t="s">
        <v>556</v>
      </c>
      <c r="D176" s="103">
        <v>213668</v>
      </c>
      <c r="E176" s="103" t="s">
        <v>560</v>
      </c>
      <c r="F176" s="18">
        <v>29</v>
      </c>
      <c r="G176" s="101">
        <v>213348</v>
      </c>
      <c r="H176" s="103" t="s">
        <v>560</v>
      </c>
      <c r="I176" s="100" t="s">
        <v>588</v>
      </c>
      <c r="J176" s="100">
        <v>0</v>
      </c>
      <c r="K176" s="104">
        <v>45112</v>
      </c>
      <c r="L176" s="100" t="s">
        <v>589</v>
      </c>
      <c r="M176" s="106">
        <v>45112.748379629629</v>
      </c>
      <c r="N176" s="100">
        <v>10</v>
      </c>
      <c r="O176" s="100">
        <v>10</v>
      </c>
      <c r="P176" s="100">
        <v>27</v>
      </c>
      <c r="Q176" s="100">
        <v>16</v>
      </c>
    </row>
    <row r="177" spans="1:17" x14ac:dyDescent="0.3">
      <c r="A177" s="100">
        <v>32</v>
      </c>
      <c r="B177" s="103" t="s">
        <v>555</v>
      </c>
      <c r="C177" s="103" t="s">
        <v>556</v>
      </c>
      <c r="D177" s="103">
        <v>213668</v>
      </c>
      <c r="E177" s="103" t="s">
        <v>560</v>
      </c>
      <c r="F177" s="18">
        <v>29</v>
      </c>
      <c r="G177" s="101">
        <v>213348</v>
      </c>
      <c r="H177" s="103" t="s">
        <v>560</v>
      </c>
      <c r="I177" s="100" t="s">
        <v>590</v>
      </c>
      <c r="J177" s="100">
        <v>1</v>
      </c>
      <c r="K177" s="104">
        <v>45112</v>
      </c>
      <c r="L177" s="100" t="s">
        <v>591</v>
      </c>
      <c r="M177" s="106">
        <v>45112.748518518521</v>
      </c>
      <c r="N177" s="100">
        <v>10</v>
      </c>
      <c r="O177" s="100">
        <v>10</v>
      </c>
      <c r="P177" s="100">
        <v>28</v>
      </c>
      <c r="Q177" s="100">
        <v>17</v>
      </c>
    </row>
    <row r="178" spans="1:17" x14ac:dyDescent="0.3">
      <c r="A178" s="100">
        <v>33</v>
      </c>
      <c r="B178" s="103" t="s">
        <v>555</v>
      </c>
      <c r="C178" s="103" t="s">
        <v>556</v>
      </c>
      <c r="D178" s="103">
        <v>213668</v>
      </c>
      <c r="E178" s="103" t="s">
        <v>560</v>
      </c>
      <c r="F178" s="18">
        <v>29</v>
      </c>
      <c r="G178" s="101">
        <v>213348</v>
      </c>
      <c r="H178" s="103" t="s">
        <v>560</v>
      </c>
      <c r="I178" s="100" t="s">
        <v>592</v>
      </c>
      <c r="J178" s="100">
        <v>2</v>
      </c>
      <c r="K178" s="104">
        <v>45112</v>
      </c>
      <c r="L178" s="100" t="s">
        <v>593</v>
      </c>
      <c r="M178" s="106">
        <v>45112.749594907407</v>
      </c>
      <c r="N178" s="100">
        <v>10</v>
      </c>
      <c r="O178" s="100">
        <v>10</v>
      </c>
      <c r="P178" s="100">
        <v>29</v>
      </c>
      <c r="Q178" s="100">
        <v>18</v>
      </c>
    </row>
    <row r="179" spans="1:17" x14ac:dyDescent="0.3">
      <c r="A179" s="100">
        <v>34</v>
      </c>
      <c r="B179" s="103" t="s">
        <v>555</v>
      </c>
      <c r="C179" s="103" t="s">
        <v>556</v>
      </c>
      <c r="D179" s="103">
        <v>213668</v>
      </c>
      <c r="E179" s="103" t="s">
        <v>560</v>
      </c>
      <c r="F179" s="18">
        <v>29</v>
      </c>
      <c r="G179" s="101">
        <v>213348</v>
      </c>
      <c r="H179" s="103" t="s">
        <v>560</v>
      </c>
      <c r="I179" s="100" t="s">
        <v>594</v>
      </c>
      <c r="J179" s="100">
        <v>1</v>
      </c>
      <c r="K179" s="104">
        <v>45112</v>
      </c>
      <c r="L179" s="100" t="s">
        <v>595</v>
      </c>
      <c r="M179" s="106">
        <v>45112.749976851854</v>
      </c>
      <c r="N179" s="100">
        <v>10</v>
      </c>
      <c r="O179" s="100">
        <v>10</v>
      </c>
      <c r="P179" s="100">
        <v>30</v>
      </c>
      <c r="Q179" s="100">
        <v>19</v>
      </c>
    </row>
    <row r="180" spans="1:17" x14ac:dyDescent="0.3">
      <c r="A180" s="100">
        <v>70</v>
      </c>
      <c r="B180" s="103" t="s">
        <v>596</v>
      </c>
      <c r="C180" s="103" t="s">
        <v>597</v>
      </c>
      <c r="D180" s="103">
        <v>213711</v>
      </c>
      <c r="E180" s="103" t="s">
        <v>707</v>
      </c>
      <c r="F180" s="18">
        <v>31</v>
      </c>
      <c r="G180" s="101">
        <v>213442</v>
      </c>
      <c r="H180" s="103" t="s">
        <v>707</v>
      </c>
      <c r="I180" s="100" t="s">
        <v>708</v>
      </c>
      <c r="J180" s="100">
        <v>1</v>
      </c>
      <c r="K180" s="104">
        <v>45112</v>
      </c>
      <c r="L180" s="100" t="s">
        <v>709</v>
      </c>
      <c r="M180" s="106">
        <v>45112.690335648149</v>
      </c>
      <c r="N180" s="100">
        <v>11</v>
      </c>
      <c r="O180" s="100">
        <v>11</v>
      </c>
      <c r="P180" s="100">
        <v>1</v>
      </c>
      <c r="Q180" s="100">
        <v>54</v>
      </c>
    </row>
    <row r="181" spans="1:17" x14ac:dyDescent="0.3">
      <c r="A181" s="100">
        <v>71</v>
      </c>
      <c r="B181" s="103" t="s">
        <v>596</v>
      </c>
      <c r="C181" s="103" t="s">
        <v>597</v>
      </c>
      <c r="D181" s="103">
        <v>213711</v>
      </c>
      <c r="E181" s="103" t="s">
        <v>707</v>
      </c>
      <c r="F181" s="18">
        <v>31</v>
      </c>
      <c r="G181" s="101">
        <v>213442</v>
      </c>
      <c r="H181" s="103" t="s">
        <v>707</v>
      </c>
      <c r="I181" s="100" t="s">
        <v>710</v>
      </c>
      <c r="J181" s="100">
        <v>2</v>
      </c>
      <c r="K181" s="104">
        <v>45112</v>
      </c>
      <c r="L181" s="100" t="s">
        <v>711</v>
      </c>
      <c r="M181" s="106">
        <v>45112.692511574074</v>
      </c>
      <c r="N181" s="100">
        <v>11</v>
      </c>
      <c r="O181" s="100">
        <v>11</v>
      </c>
      <c r="P181" s="100">
        <v>2</v>
      </c>
      <c r="Q181" s="100">
        <v>55</v>
      </c>
    </row>
    <row r="182" spans="1:17" x14ac:dyDescent="0.3">
      <c r="A182" s="100">
        <v>95</v>
      </c>
      <c r="B182" s="103" t="s">
        <v>596</v>
      </c>
      <c r="C182" s="103" t="s">
        <v>597</v>
      </c>
      <c r="D182" s="103">
        <v>213711</v>
      </c>
      <c r="E182" s="103" t="s">
        <v>707</v>
      </c>
      <c r="F182" s="18">
        <v>31</v>
      </c>
      <c r="G182" s="101">
        <v>213442</v>
      </c>
      <c r="H182" s="103" t="s">
        <v>707</v>
      </c>
      <c r="I182" s="100" t="s">
        <v>760</v>
      </c>
      <c r="J182" s="100">
        <v>1</v>
      </c>
      <c r="K182" s="104">
        <v>45112</v>
      </c>
      <c r="L182" s="100" t="s">
        <v>761</v>
      </c>
      <c r="M182" s="106">
        <v>45112.932523148149</v>
      </c>
      <c r="N182" s="100">
        <v>11</v>
      </c>
      <c r="O182" s="100">
        <v>11</v>
      </c>
      <c r="P182" s="100">
        <v>3</v>
      </c>
      <c r="Q182" s="100">
        <v>79</v>
      </c>
    </row>
    <row r="183" spans="1:17" x14ac:dyDescent="0.3">
      <c r="A183" s="100">
        <v>96</v>
      </c>
      <c r="B183" s="103" t="s">
        <v>596</v>
      </c>
      <c r="C183" s="103" t="s">
        <v>597</v>
      </c>
      <c r="D183" s="103">
        <v>213711</v>
      </c>
      <c r="E183" s="103" t="s">
        <v>707</v>
      </c>
      <c r="F183" s="18">
        <v>31</v>
      </c>
      <c r="G183" s="101">
        <v>213442</v>
      </c>
      <c r="H183" s="103" t="s">
        <v>707</v>
      </c>
      <c r="I183" s="100" t="s">
        <v>762</v>
      </c>
      <c r="J183" s="100">
        <v>0</v>
      </c>
      <c r="K183" s="104">
        <v>45112</v>
      </c>
      <c r="L183" s="100" t="s">
        <v>763</v>
      </c>
      <c r="M183" s="106">
        <v>45112.932546296295</v>
      </c>
      <c r="N183" s="100">
        <v>11</v>
      </c>
      <c r="O183" s="100">
        <v>11</v>
      </c>
      <c r="P183" s="100">
        <v>4</v>
      </c>
      <c r="Q183" s="100">
        <v>80</v>
      </c>
    </row>
    <row r="184" spans="1:17" x14ac:dyDescent="0.3">
      <c r="A184" s="100">
        <v>97</v>
      </c>
      <c r="B184" s="103" t="s">
        <v>596</v>
      </c>
      <c r="C184" s="103" t="s">
        <v>597</v>
      </c>
      <c r="D184" s="103">
        <v>213711</v>
      </c>
      <c r="E184" s="103" t="s">
        <v>707</v>
      </c>
      <c r="F184" s="18">
        <v>31</v>
      </c>
      <c r="G184" s="101">
        <v>213442</v>
      </c>
      <c r="H184" s="103" t="s">
        <v>707</v>
      </c>
      <c r="I184" s="100" t="s">
        <v>764</v>
      </c>
      <c r="J184" s="100">
        <v>0</v>
      </c>
      <c r="K184" s="104">
        <v>45113</v>
      </c>
      <c r="L184" s="100" t="s">
        <v>765</v>
      </c>
      <c r="M184" s="106">
        <v>45113.00953703704</v>
      </c>
      <c r="N184" s="100">
        <v>11</v>
      </c>
      <c r="O184" s="100">
        <v>11</v>
      </c>
      <c r="P184" s="100">
        <v>5</v>
      </c>
      <c r="Q184" s="100">
        <v>81</v>
      </c>
    </row>
    <row r="185" spans="1:17" x14ac:dyDescent="0.3">
      <c r="A185" s="100">
        <v>99</v>
      </c>
      <c r="B185" s="103" t="s">
        <v>596</v>
      </c>
      <c r="C185" s="103" t="s">
        <v>597</v>
      </c>
      <c r="D185" s="103">
        <v>213711</v>
      </c>
      <c r="E185" s="103" t="s">
        <v>707</v>
      </c>
      <c r="F185" s="18">
        <v>31</v>
      </c>
      <c r="G185" s="101">
        <v>213442</v>
      </c>
      <c r="H185" s="103" t="s">
        <v>707</v>
      </c>
      <c r="I185" s="100" t="s">
        <v>767</v>
      </c>
      <c r="J185" s="100">
        <v>1</v>
      </c>
      <c r="K185" s="104">
        <v>45113</v>
      </c>
      <c r="L185" s="100" t="s">
        <v>768</v>
      </c>
      <c r="M185" s="106">
        <v>45113.019502314812</v>
      </c>
      <c r="N185" s="100">
        <v>11</v>
      </c>
      <c r="O185" s="100">
        <v>11</v>
      </c>
      <c r="P185" s="100">
        <v>6</v>
      </c>
      <c r="Q185" s="100">
        <v>83</v>
      </c>
    </row>
    <row r="186" spans="1:17" x14ac:dyDescent="0.3">
      <c r="A186" s="100">
        <v>100</v>
      </c>
      <c r="B186" s="103" t="s">
        <v>596</v>
      </c>
      <c r="C186" s="103" t="s">
        <v>597</v>
      </c>
      <c r="D186" s="103">
        <v>213711</v>
      </c>
      <c r="E186" s="103" t="s">
        <v>707</v>
      </c>
      <c r="F186" s="18">
        <v>31</v>
      </c>
      <c r="G186" s="101">
        <v>213442</v>
      </c>
      <c r="H186" s="103" t="s">
        <v>707</v>
      </c>
      <c r="I186" s="100" t="s">
        <v>769</v>
      </c>
      <c r="J186" s="100">
        <v>2</v>
      </c>
      <c r="K186" s="104">
        <v>45113</v>
      </c>
      <c r="L186" s="100" t="s">
        <v>770</v>
      </c>
      <c r="M186" s="106">
        <v>45113.022060185183</v>
      </c>
      <c r="N186" s="100">
        <v>11</v>
      </c>
      <c r="O186" s="100">
        <v>11</v>
      </c>
      <c r="P186" s="100">
        <v>7</v>
      </c>
      <c r="Q186" s="100">
        <v>84</v>
      </c>
    </row>
    <row r="187" spans="1:17" x14ac:dyDescent="0.3">
      <c r="A187" s="100">
        <v>101</v>
      </c>
      <c r="B187" s="103" t="s">
        <v>596</v>
      </c>
      <c r="C187" s="103" t="s">
        <v>597</v>
      </c>
      <c r="D187" s="103">
        <v>213711</v>
      </c>
      <c r="E187" s="103" t="s">
        <v>707</v>
      </c>
      <c r="F187" s="18">
        <v>31</v>
      </c>
      <c r="G187" s="101">
        <v>213442</v>
      </c>
      <c r="H187" s="103" t="s">
        <v>707</v>
      </c>
      <c r="I187" s="100" t="s">
        <v>771</v>
      </c>
      <c r="J187" s="100">
        <v>2</v>
      </c>
      <c r="K187" s="104">
        <v>45113</v>
      </c>
      <c r="L187" s="100" t="s">
        <v>772</v>
      </c>
      <c r="M187" s="106">
        <v>45113.023182870369</v>
      </c>
      <c r="N187" s="100">
        <v>11</v>
      </c>
      <c r="O187" s="100">
        <v>11</v>
      </c>
      <c r="P187" s="100">
        <v>8</v>
      </c>
      <c r="Q187" s="100">
        <v>85</v>
      </c>
    </row>
    <row r="188" spans="1:17" x14ac:dyDescent="0.3">
      <c r="A188" s="100">
        <v>102</v>
      </c>
      <c r="B188" s="103" t="s">
        <v>596</v>
      </c>
      <c r="C188" s="103" t="s">
        <v>597</v>
      </c>
      <c r="D188" s="103">
        <v>213711</v>
      </c>
      <c r="E188" s="103" t="s">
        <v>707</v>
      </c>
      <c r="F188" s="18">
        <v>31</v>
      </c>
      <c r="G188" s="101">
        <v>213442</v>
      </c>
      <c r="H188" s="103" t="s">
        <v>707</v>
      </c>
      <c r="I188" s="100" t="s">
        <v>773</v>
      </c>
      <c r="J188" s="100">
        <v>2</v>
      </c>
      <c r="K188" s="104">
        <v>45113</v>
      </c>
      <c r="L188" s="100" t="s">
        <v>774</v>
      </c>
      <c r="M188" s="106">
        <v>45113.023206018515</v>
      </c>
      <c r="N188" s="100">
        <v>11</v>
      </c>
      <c r="O188" s="100">
        <v>11</v>
      </c>
      <c r="P188" s="100">
        <v>9</v>
      </c>
      <c r="Q188" s="100">
        <v>86</v>
      </c>
    </row>
    <row r="189" spans="1:17" x14ac:dyDescent="0.3">
      <c r="A189" s="100">
        <v>103</v>
      </c>
      <c r="B189" s="103" t="s">
        <v>596</v>
      </c>
      <c r="C189" s="103" t="s">
        <v>597</v>
      </c>
      <c r="D189" s="103">
        <v>213711</v>
      </c>
      <c r="E189" s="103" t="s">
        <v>707</v>
      </c>
      <c r="F189" s="18">
        <v>31</v>
      </c>
      <c r="G189" s="101">
        <v>213442</v>
      </c>
      <c r="H189" s="103" t="s">
        <v>707</v>
      </c>
      <c r="I189" s="100" t="s">
        <v>775</v>
      </c>
      <c r="J189" s="100">
        <v>1</v>
      </c>
      <c r="K189" s="104">
        <v>45113</v>
      </c>
      <c r="L189" s="100" t="s">
        <v>776</v>
      </c>
      <c r="M189" s="106">
        <v>45113.024537037039</v>
      </c>
      <c r="N189" s="100">
        <v>11</v>
      </c>
      <c r="O189" s="100">
        <v>11</v>
      </c>
      <c r="P189" s="100">
        <v>10</v>
      </c>
      <c r="Q189" s="100">
        <v>87</v>
      </c>
    </row>
    <row r="190" spans="1:17" x14ac:dyDescent="0.3">
      <c r="A190" s="100">
        <v>104</v>
      </c>
      <c r="B190" s="103" t="s">
        <v>596</v>
      </c>
      <c r="C190" s="103" t="s">
        <v>597</v>
      </c>
      <c r="D190" s="103">
        <v>213711</v>
      </c>
      <c r="E190" s="103" t="s">
        <v>707</v>
      </c>
      <c r="F190" s="18">
        <v>31</v>
      </c>
      <c r="G190" s="101">
        <v>213442</v>
      </c>
      <c r="H190" s="103" t="s">
        <v>707</v>
      </c>
      <c r="I190" s="100" t="s">
        <v>777</v>
      </c>
      <c r="J190" s="100">
        <v>0</v>
      </c>
      <c r="K190" s="104">
        <v>45113</v>
      </c>
      <c r="L190" s="100" t="s">
        <v>778</v>
      </c>
      <c r="M190" s="106">
        <v>45113.037106481483</v>
      </c>
      <c r="N190" s="100">
        <v>11</v>
      </c>
      <c r="O190" s="100">
        <v>11</v>
      </c>
      <c r="P190" s="100">
        <v>11</v>
      </c>
      <c r="Q190" s="100">
        <v>88</v>
      </c>
    </row>
    <row r="191" spans="1:17" x14ac:dyDescent="0.3">
      <c r="A191" s="100">
        <v>105</v>
      </c>
      <c r="B191" s="103" t="s">
        <v>596</v>
      </c>
      <c r="C191" s="103" t="s">
        <v>597</v>
      </c>
      <c r="D191" s="103">
        <v>213711</v>
      </c>
      <c r="E191" s="103" t="s">
        <v>707</v>
      </c>
      <c r="F191" s="18">
        <v>31</v>
      </c>
      <c r="G191" s="101">
        <v>213442</v>
      </c>
      <c r="H191" s="103" t="s">
        <v>707</v>
      </c>
      <c r="I191" s="100" t="s">
        <v>779</v>
      </c>
      <c r="J191" s="100">
        <v>0</v>
      </c>
      <c r="K191" s="104">
        <v>45113</v>
      </c>
      <c r="L191" s="100" t="s">
        <v>780</v>
      </c>
      <c r="M191" s="106">
        <v>45113.037141203706</v>
      </c>
      <c r="N191" s="100">
        <v>11</v>
      </c>
      <c r="O191" s="100">
        <v>11</v>
      </c>
      <c r="P191" s="100">
        <v>12</v>
      </c>
      <c r="Q191" s="100">
        <v>89</v>
      </c>
    </row>
    <row r="192" spans="1:17" x14ac:dyDescent="0.3">
      <c r="A192" s="100">
        <v>106</v>
      </c>
      <c r="B192" s="103" t="s">
        <v>596</v>
      </c>
      <c r="C192" s="103" t="s">
        <v>597</v>
      </c>
      <c r="D192" s="103">
        <v>213711</v>
      </c>
      <c r="E192" s="103" t="s">
        <v>707</v>
      </c>
      <c r="F192" s="18">
        <v>31</v>
      </c>
      <c r="G192" s="101">
        <v>213442</v>
      </c>
      <c r="H192" s="103" t="s">
        <v>707</v>
      </c>
      <c r="I192" s="100" t="s">
        <v>781</v>
      </c>
      <c r="J192" s="100">
        <v>0</v>
      </c>
      <c r="K192" s="104">
        <v>45113</v>
      </c>
      <c r="L192" s="100" t="s">
        <v>782</v>
      </c>
      <c r="M192" s="106">
        <v>45113.039768518516</v>
      </c>
      <c r="N192" s="100">
        <v>11</v>
      </c>
      <c r="O192" s="100">
        <v>11</v>
      </c>
      <c r="P192" s="100">
        <v>13</v>
      </c>
      <c r="Q192" s="100">
        <v>90</v>
      </c>
    </row>
    <row r="193" spans="1:17" x14ac:dyDescent="0.3">
      <c r="A193" s="100">
        <v>112</v>
      </c>
      <c r="B193" s="103" t="s">
        <v>596</v>
      </c>
      <c r="C193" s="103" t="s">
        <v>597</v>
      </c>
      <c r="D193" s="103">
        <v>213711</v>
      </c>
      <c r="E193" s="103" t="s">
        <v>707</v>
      </c>
      <c r="F193" s="18">
        <v>31</v>
      </c>
      <c r="G193" s="101">
        <v>213442</v>
      </c>
      <c r="H193" s="103" t="s">
        <v>707</v>
      </c>
      <c r="I193" s="100" t="s">
        <v>793</v>
      </c>
      <c r="J193" s="100">
        <v>3</v>
      </c>
      <c r="K193" s="104">
        <v>45113</v>
      </c>
      <c r="L193" s="100" t="s">
        <v>794</v>
      </c>
      <c r="M193" s="106">
        <v>45113.122650462959</v>
      </c>
      <c r="N193" s="100">
        <v>11</v>
      </c>
      <c r="O193" s="100">
        <v>11</v>
      </c>
      <c r="P193" s="100">
        <v>14</v>
      </c>
      <c r="Q193" s="100">
        <v>96</v>
      </c>
    </row>
    <row r="194" spans="1:17" x14ac:dyDescent="0.3">
      <c r="A194" s="100">
        <v>113</v>
      </c>
      <c r="B194" s="103" t="s">
        <v>596</v>
      </c>
      <c r="C194" s="103" t="s">
        <v>597</v>
      </c>
      <c r="D194" s="103">
        <v>213711</v>
      </c>
      <c r="E194" s="103" t="s">
        <v>707</v>
      </c>
      <c r="F194" s="18">
        <v>31</v>
      </c>
      <c r="G194" s="101">
        <v>213442</v>
      </c>
      <c r="H194" s="103" t="s">
        <v>707</v>
      </c>
      <c r="I194" s="100" t="s">
        <v>795</v>
      </c>
      <c r="J194" s="100">
        <v>1</v>
      </c>
      <c r="K194" s="104">
        <v>45113</v>
      </c>
      <c r="L194" s="100" t="s">
        <v>796</v>
      </c>
      <c r="M194" s="106">
        <v>45113.124930555554</v>
      </c>
      <c r="N194" s="100">
        <v>11</v>
      </c>
      <c r="O194" s="100">
        <v>11</v>
      </c>
      <c r="P194" s="100">
        <v>15</v>
      </c>
      <c r="Q194" s="100">
        <v>97</v>
      </c>
    </row>
    <row r="195" spans="1:17" x14ac:dyDescent="0.3">
      <c r="A195" s="100">
        <v>114</v>
      </c>
      <c r="B195" s="103" t="s">
        <v>596</v>
      </c>
      <c r="C195" s="103" t="s">
        <v>597</v>
      </c>
      <c r="D195" s="103">
        <v>213711</v>
      </c>
      <c r="E195" s="103" t="s">
        <v>707</v>
      </c>
      <c r="F195" s="18">
        <v>31</v>
      </c>
      <c r="G195" s="101">
        <v>213442</v>
      </c>
      <c r="H195" s="103" t="s">
        <v>707</v>
      </c>
      <c r="I195" s="100" t="s">
        <v>797</v>
      </c>
      <c r="J195" s="100">
        <v>3</v>
      </c>
      <c r="K195" s="104">
        <v>45113</v>
      </c>
      <c r="L195" s="100" t="s">
        <v>798</v>
      </c>
      <c r="M195" s="106">
        <v>45113.190023148149</v>
      </c>
      <c r="N195" s="100">
        <v>11</v>
      </c>
      <c r="O195" s="100">
        <v>11</v>
      </c>
      <c r="P195" s="100">
        <v>16</v>
      </c>
      <c r="Q195" s="100">
        <v>98</v>
      </c>
    </row>
    <row r="196" spans="1:17" x14ac:dyDescent="0.3">
      <c r="A196" s="100">
        <v>115</v>
      </c>
      <c r="B196" s="103" t="s">
        <v>596</v>
      </c>
      <c r="C196" s="103" t="s">
        <v>597</v>
      </c>
      <c r="D196" s="103">
        <v>213711</v>
      </c>
      <c r="E196" s="103" t="s">
        <v>707</v>
      </c>
      <c r="F196" s="18">
        <v>31</v>
      </c>
      <c r="G196" s="101">
        <v>213442</v>
      </c>
      <c r="H196" s="103" t="s">
        <v>707</v>
      </c>
      <c r="I196" s="100" t="s">
        <v>799</v>
      </c>
      <c r="J196" s="100">
        <v>1</v>
      </c>
      <c r="K196" s="104">
        <v>45113</v>
      </c>
      <c r="L196" s="100" t="s">
        <v>800</v>
      </c>
      <c r="M196" s="106">
        <v>45113.19122685185</v>
      </c>
      <c r="N196" s="100">
        <v>11</v>
      </c>
      <c r="O196" s="100">
        <v>11</v>
      </c>
      <c r="P196" s="100">
        <v>17</v>
      </c>
      <c r="Q196" s="100">
        <v>99</v>
      </c>
    </row>
    <row r="197" spans="1:17" x14ac:dyDescent="0.3">
      <c r="A197" s="100">
        <v>116</v>
      </c>
      <c r="B197" s="103" t="s">
        <v>596</v>
      </c>
      <c r="C197" s="103" t="s">
        <v>597</v>
      </c>
      <c r="D197" s="103">
        <v>213711</v>
      </c>
      <c r="E197" s="103" t="s">
        <v>707</v>
      </c>
      <c r="F197" s="18">
        <v>31</v>
      </c>
      <c r="G197" s="101">
        <v>213442</v>
      </c>
      <c r="H197" s="103" t="s">
        <v>707</v>
      </c>
      <c r="I197" s="100" t="s">
        <v>801</v>
      </c>
      <c r="J197" s="100">
        <v>1</v>
      </c>
      <c r="K197" s="104">
        <v>45113</v>
      </c>
      <c r="L197" s="100" t="s">
        <v>802</v>
      </c>
      <c r="M197" s="106">
        <v>45113.191550925927</v>
      </c>
      <c r="N197" s="100">
        <v>11</v>
      </c>
      <c r="O197" s="100">
        <v>11</v>
      </c>
      <c r="P197" s="100">
        <v>18</v>
      </c>
      <c r="Q197" s="100">
        <v>100</v>
      </c>
    </row>
    <row r="198" spans="1:17" x14ac:dyDescent="0.3">
      <c r="A198" s="100">
        <v>117</v>
      </c>
      <c r="B198" s="103" t="s">
        <v>596</v>
      </c>
      <c r="C198" s="103" t="s">
        <v>597</v>
      </c>
      <c r="D198" s="103">
        <v>213711</v>
      </c>
      <c r="E198" s="103" t="s">
        <v>707</v>
      </c>
      <c r="F198" s="18">
        <v>31</v>
      </c>
      <c r="G198" s="101">
        <v>213442</v>
      </c>
      <c r="H198" s="103" t="s">
        <v>707</v>
      </c>
      <c r="I198" s="100" t="s">
        <v>803</v>
      </c>
      <c r="J198" s="100">
        <v>0</v>
      </c>
      <c r="K198" s="104">
        <v>45113</v>
      </c>
      <c r="L198" s="100" t="s">
        <v>804</v>
      </c>
      <c r="M198" s="106">
        <v>45113.19222222222</v>
      </c>
      <c r="N198" s="100">
        <v>11</v>
      </c>
      <c r="O198" s="100">
        <v>11</v>
      </c>
      <c r="P198" s="100">
        <v>19</v>
      </c>
      <c r="Q198" s="100">
        <v>101</v>
      </c>
    </row>
    <row r="199" spans="1:17" x14ac:dyDescent="0.3">
      <c r="A199" s="100">
        <v>118</v>
      </c>
      <c r="B199" s="103" t="s">
        <v>596</v>
      </c>
      <c r="C199" s="103" t="s">
        <v>597</v>
      </c>
      <c r="D199" s="103">
        <v>213711</v>
      </c>
      <c r="E199" s="103" t="s">
        <v>707</v>
      </c>
      <c r="F199" s="18">
        <v>31</v>
      </c>
      <c r="G199" s="101">
        <v>213442</v>
      </c>
      <c r="H199" s="103" t="s">
        <v>707</v>
      </c>
      <c r="I199" s="100" t="s">
        <v>805</v>
      </c>
      <c r="J199" s="100">
        <v>2</v>
      </c>
      <c r="K199" s="104">
        <v>45113</v>
      </c>
      <c r="L199" s="100" t="s">
        <v>806</v>
      </c>
      <c r="M199" s="106">
        <v>45113.192835648151</v>
      </c>
      <c r="N199" s="100">
        <v>11</v>
      </c>
      <c r="O199" s="100">
        <v>11</v>
      </c>
      <c r="P199" s="100">
        <v>20</v>
      </c>
      <c r="Q199" s="100">
        <v>102</v>
      </c>
    </row>
    <row r="200" spans="1:17" x14ac:dyDescent="0.3">
      <c r="A200" s="100">
        <v>119</v>
      </c>
      <c r="B200" s="103" t="s">
        <v>596</v>
      </c>
      <c r="C200" s="103" t="s">
        <v>597</v>
      </c>
      <c r="D200" s="103">
        <v>213711</v>
      </c>
      <c r="E200" s="103" t="s">
        <v>707</v>
      </c>
      <c r="F200" s="18">
        <v>31</v>
      </c>
      <c r="G200" s="101">
        <v>213442</v>
      </c>
      <c r="H200" s="103" t="s">
        <v>707</v>
      </c>
      <c r="I200" s="100" t="s">
        <v>807</v>
      </c>
      <c r="J200" s="100">
        <v>1</v>
      </c>
      <c r="K200" s="104">
        <v>45113</v>
      </c>
      <c r="L200" s="100" t="s">
        <v>808</v>
      </c>
      <c r="M200" s="106">
        <v>45113.193240740744</v>
      </c>
      <c r="N200" s="100">
        <v>11</v>
      </c>
      <c r="O200" s="100">
        <v>11</v>
      </c>
      <c r="P200" s="100">
        <v>21</v>
      </c>
      <c r="Q200" s="100">
        <v>103</v>
      </c>
    </row>
    <row r="201" spans="1:17" x14ac:dyDescent="0.3">
      <c r="A201" s="100">
        <v>120</v>
      </c>
      <c r="B201" s="103" t="s">
        <v>596</v>
      </c>
      <c r="C201" s="103" t="s">
        <v>597</v>
      </c>
      <c r="D201" s="103">
        <v>213711</v>
      </c>
      <c r="E201" s="103" t="s">
        <v>707</v>
      </c>
      <c r="F201" s="18">
        <v>31</v>
      </c>
      <c r="G201" s="101">
        <v>213442</v>
      </c>
      <c r="H201" s="103" t="s">
        <v>707</v>
      </c>
      <c r="I201" s="100" t="s">
        <v>809</v>
      </c>
      <c r="J201" s="100">
        <v>4</v>
      </c>
      <c r="K201" s="104">
        <v>45113</v>
      </c>
      <c r="L201" s="100" t="s">
        <v>810</v>
      </c>
      <c r="M201" s="106">
        <v>45113.194548611114</v>
      </c>
      <c r="N201" s="100">
        <v>11</v>
      </c>
      <c r="O201" s="100">
        <v>11</v>
      </c>
      <c r="P201" s="100">
        <v>22</v>
      </c>
      <c r="Q201" s="100">
        <v>104</v>
      </c>
    </row>
    <row r="202" spans="1:17" x14ac:dyDescent="0.3">
      <c r="A202" s="100">
        <v>121</v>
      </c>
      <c r="B202" s="103" t="s">
        <v>596</v>
      </c>
      <c r="C202" s="103" t="s">
        <v>597</v>
      </c>
      <c r="D202" s="103">
        <v>213711</v>
      </c>
      <c r="E202" s="103" t="s">
        <v>707</v>
      </c>
      <c r="F202" s="18">
        <v>31</v>
      </c>
      <c r="G202" s="101">
        <v>213442</v>
      </c>
      <c r="H202" s="103" t="s">
        <v>707</v>
      </c>
      <c r="I202" s="100" t="s">
        <v>811</v>
      </c>
      <c r="J202" s="100">
        <v>2</v>
      </c>
      <c r="K202" s="104">
        <v>45113</v>
      </c>
      <c r="L202" s="100" t="s">
        <v>812</v>
      </c>
      <c r="M202" s="106">
        <v>45113.194733796299</v>
      </c>
      <c r="N202" s="100">
        <v>11</v>
      </c>
      <c r="O202" s="100">
        <v>11</v>
      </c>
      <c r="P202" s="100">
        <v>23</v>
      </c>
      <c r="Q202" s="100">
        <v>105</v>
      </c>
    </row>
    <row r="203" spans="1:17" x14ac:dyDescent="0.3">
      <c r="A203" s="100">
        <v>122</v>
      </c>
      <c r="B203" s="103" t="s">
        <v>596</v>
      </c>
      <c r="C203" s="103" t="s">
        <v>597</v>
      </c>
      <c r="D203" s="103">
        <v>213711</v>
      </c>
      <c r="E203" s="103" t="s">
        <v>707</v>
      </c>
      <c r="F203" s="18">
        <v>31</v>
      </c>
      <c r="G203" s="101">
        <v>213442</v>
      </c>
      <c r="H203" s="103" t="s">
        <v>707</v>
      </c>
      <c r="I203" s="100" t="s">
        <v>813</v>
      </c>
      <c r="J203" s="100">
        <v>3</v>
      </c>
      <c r="K203" s="104">
        <v>45113</v>
      </c>
      <c r="L203" s="100" t="s">
        <v>814</v>
      </c>
      <c r="M203" s="106">
        <v>45113.194907407407</v>
      </c>
      <c r="N203" s="100">
        <v>11</v>
      </c>
      <c r="O203" s="100">
        <v>11</v>
      </c>
      <c r="P203" s="100">
        <v>24</v>
      </c>
      <c r="Q203" s="100">
        <v>106</v>
      </c>
    </row>
    <row r="204" spans="1:17" x14ac:dyDescent="0.3">
      <c r="A204" s="100">
        <v>123</v>
      </c>
      <c r="B204" s="103" t="s">
        <v>596</v>
      </c>
      <c r="C204" s="103" t="s">
        <v>597</v>
      </c>
      <c r="D204" s="103">
        <v>213711</v>
      </c>
      <c r="E204" s="103" t="s">
        <v>707</v>
      </c>
      <c r="F204" s="18">
        <v>31</v>
      </c>
      <c r="G204" s="101">
        <v>213442</v>
      </c>
      <c r="H204" s="103" t="s">
        <v>707</v>
      </c>
      <c r="I204" s="100" t="s">
        <v>815</v>
      </c>
      <c r="J204" s="100">
        <v>3</v>
      </c>
      <c r="K204" s="104">
        <v>45113</v>
      </c>
      <c r="L204" s="100" t="s">
        <v>816</v>
      </c>
      <c r="M204" s="106">
        <v>45113.197604166664</v>
      </c>
      <c r="N204" s="100">
        <v>11</v>
      </c>
      <c r="O204" s="100">
        <v>11</v>
      </c>
      <c r="P204" s="100">
        <v>25</v>
      </c>
      <c r="Q204" s="100">
        <v>107</v>
      </c>
    </row>
    <row r="205" spans="1:17" x14ac:dyDescent="0.3">
      <c r="A205" s="100">
        <v>124</v>
      </c>
      <c r="B205" s="103" t="s">
        <v>596</v>
      </c>
      <c r="C205" s="103" t="s">
        <v>597</v>
      </c>
      <c r="D205" s="103">
        <v>213711</v>
      </c>
      <c r="E205" s="103" t="s">
        <v>707</v>
      </c>
      <c r="F205" s="18">
        <v>31</v>
      </c>
      <c r="G205" s="101">
        <v>213442</v>
      </c>
      <c r="H205" s="103" t="s">
        <v>707</v>
      </c>
      <c r="I205" s="100" t="s">
        <v>817</v>
      </c>
      <c r="J205" s="100">
        <v>4</v>
      </c>
      <c r="K205" s="104">
        <v>45113</v>
      </c>
      <c r="L205" s="100" t="s">
        <v>818</v>
      </c>
      <c r="M205" s="106">
        <v>45113.197905092595</v>
      </c>
      <c r="N205" s="100">
        <v>11</v>
      </c>
      <c r="O205" s="100">
        <v>11</v>
      </c>
      <c r="P205" s="100">
        <v>26</v>
      </c>
      <c r="Q205" s="100">
        <v>108</v>
      </c>
    </row>
    <row r="206" spans="1:17" x14ac:dyDescent="0.3">
      <c r="A206" s="100">
        <v>125</v>
      </c>
      <c r="B206" s="103" t="s">
        <v>596</v>
      </c>
      <c r="C206" s="103" t="s">
        <v>597</v>
      </c>
      <c r="D206" s="103">
        <v>213711</v>
      </c>
      <c r="E206" s="103" t="s">
        <v>707</v>
      </c>
      <c r="F206" s="18">
        <v>31</v>
      </c>
      <c r="G206" s="101">
        <v>213442</v>
      </c>
      <c r="H206" s="103" t="s">
        <v>707</v>
      </c>
      <c r="I206" s="100" t="s">
        <v>819</v>
      </c>
      <c r="J206" s="100">
        <v>2</v>
      </c>
      <c r="K206" s="104">
        <v>45113</v>
      </c>
      <c r="L206" s="100" t="s">
        <v>820</v>
      </c>
      <c r="M206" s="106">
        <v>45113.19835648148</v>
      </c>
      <c r="N206" s="100">
        <v>11</v>
      </c>
      <c r="O206" s="100">
        <v>11</v>
      </c>
      <c r="P206" s="100">
        <v>27</v>
      </c>
      <c r="Q206" s="100">
        <v>109</v>
      </c>
    </row>
    <row r="207" spans="1:17" x14ac:dyDescent="0.3">
      <c r="A207" s="100">
        <v>126</v>
      </c>
      <c r="B207" s="103" t="s">
        <v>596</v>
      </c>
      <c r="C207" s="103" t="s">
        <v>597</v>
      </c>
      <c r="D207" s="103">
        <v>213711</v>
      </c>
      <c r="E207" s="103" t="s">
        <v>707</v>
      </c>
      <c r="F207" s="18">
        <v>31</v>
      </c>
      <c r="G207" s="101">
        <v>213442</v>
      </c>
      <c r="H207" s="103" t="s">
        <v>707</v>
      </c>
      <c r="I207" s="100" t="s">
        <v>821</v>
      </c>
      <c r="J207" s="100">
        <v>1</v>
      </c>
      <c r="K207" s="104">
        <v>45113</v>
      </c>
      <c r="L207" s="100" t="s">
        <v>822</v>
      </c>
      <c r="M207" s="106">
        <v>45113.198842592596</v>
      </c>
      <c r="N207" s="100">
        <v>11</v>
      </c>
      <c r="O207" s="100">
        <v>11</v>
      </c>
      <c r="P207" s="100">
        <v>28</v>
      </c>
      <c r="Q207" s="100">
        <v>110</v>
      </c>
    </row>
    <row r="208" spans="1:17" x14ac:dyDescent="0.3">
      <c r="A208" s="100">
        <v>127</v>
      </c>
      <c r="B208" s="103" t="s">
        <v>596</v>
      </c>
      <c r="C208" s="103" t="s">
        <v>597</v>
      </c>
      <c r="D208" s="103">
        <v>213711</v>
      </c>
      <c r="E208" s="103" t="s">
        <v>707</v>
      </c>
      <c r="F208" s="18">
        <v>31</v>
      </c>
      <c r="G208" s="101">
        <v>213442</v>
      </c>
      <c r="H208" s="103" t="s">
        <v>707</v>
      </c>
      <c r="I208" s="100" t="s">
        <v>823</v>
      </c>
      <c r="J208" s="100">
        <v>1</v>
      </c>
      <c r="K208" s="104">
        <v>45113</v>
      </c>
      <c r="L208" s="100" t="s">
        <v>824</v>
      </c>
      <c r="M208" s="106">
        <v>45113.198865740742</v>
      </c>
      <c r="N208" s="100">
        <v>11</v>
      </c>
      <c r="O208" s="100">
        <v>11</v>
      </c>
      <c r="P208" s="100">
        <v>29</v>
      </c>
      <c r="Q208" s="100">
        <v>111</v>
      </c>
    </row>
    <row r="209" spans="1:17" x14ac:dyDescent="0.3">
      <c r="A209" s="100">
        <v>128</v>
      </c>
      <c r="B209" s="103" t="s">
        <v>596</v>
      </c>
      <c r="C209" s="103" t="s">
        <v>597</v>
      </c>
      <c r="D209" s="103">
        <v>213711</v>
      </c>
      <c r="E209" s="103" t="s">
        <v>707</v>
      </c>
      <c r="F209" s="18">
        <v>31</v>
      </c>
      <c r="G209" s="101">
        <v>213442</v>
      </c>
      <c r="H209" s="103" t="s">
        <v>707</v>
      </c>
      <c r="I209" s="100" t="s">
        <v>825</v>
      </c>
      <c r="J209" s="100">
        <v>1</v>
      </c>
      <c r="K209" s="104">
        <v>45113</v>
      </c>
      <c r="L209" s="100" t="s">
        <v>826</v>
      </c>
      <c r="M209" s="106">
        <v>45113.199004629627</v>
      </c>
      <c r="N209" s="100">
        <v>11</v>
      </c>
      <c r="O209" s="100">
        <v>11</v>
      </c>
      <c r="P209" s="100">
        <v>30</v>
      </c>
      <c r="Q209" s="100">
        <v>112</v>
      </c>
    </row>
    <row r="210" spans="1:17" x14ac:dyDescent="0.3">
      <c r="A210" s="100">
        <v>129</v>
      </c>
      <c r="B210" s="103" t="s">
        <v>596</v>
      </c>
      <c r="C210" s="103" t="s">
        <v>597</v>
      </c>
      <c r="D210" s="103">
        <v>213711</v>
      </c>
      <c r="E210" s="103" t="s">
        <v>707</v>
      </c>
      <c r="F210" s="18">
        <v>31</v>
      </c>
      <c r="G210" s="101">
        <v>213442</v>
      </c>
      <c r="H210" s="103" t="s">
        <v>707</v>
      </c>
      <c r="I210" s="100" t="s">
        <v>827</v>
      </c>
      <c r="J210" s="100">
        <v>1</v>
      </c>
      <c r="K210" s="104">
        <v>45113</v>
      </c>
      <c r="L210" s="100" t="s">
        <v>828</v>
      </c>
      <c r="M210" s="106">
        <v>45113.199178240742</v>
      </c>
      <c r="N210" s="100">
        <v>11</v>
      </c>
      <c r="O210" s="100">
        <v>11</v>
      </c>
      <c r="P210" s="100">
        <v>31</v>
      </c>
      <c r="Q210" s="100">
        <v>113</v>
      </c>
    </row>
    <row r="211" spans="1:17" x14ac:dyDescent="0.3">
      <c r="A211" s="100">
        <v>130</v>
      </c>
      <c r="B211" s="103" t="s">
        <v>596</v>
      </c>
      <c r="C211" s="103" t="s">
        <v>597</v>
      </c>
      <c r="D211" s="103">
        <v>213711</v>
      </c>
      <c r="E211" s="103" t="s">
        <v>707</v>
      </c>
      <c r="F211" s="18">
        <v>31</v>
      </c>
      <c r="G211" s="101">
        <v>213442</v>
      </c>
      <c r="H211" s="103" t="s">
        <v>707</v>
      </c>
      <c r="I211" s="100" t="s">
        <v>829</v>
      </c>
      <c r="J211" s="100">
        <v>1</v>
      </c>
      <c r="K211" s="104">
        <v>45113</v>
      </c>
      <c r="L211" s="100" t="s">
        <v>830</v>
      </c>
      <c r="M211" s="106">
        <v>45113.199201388888</v>
      </c>
      <c r="N211" s="100">
        <v>11</v>
      </c>
      <c r="O211" s="100">
        <v>11</v>
      </c>
      <c r="P211" s="100">
        <v>32</v>
      </c>
      <c r="Q211" s="100">
        <v>114</v>
      </c>
    </row>
    <row r="212" spans="1:17" x14ac:dyDescent="0.3">
      <c r="A212" s="100">
        <v>131</v>
      </c>
      <c r="B212" s="103" t="s">
        <v>596</v>
      </c>
      <c r="C212" s="103" t="s">
        <v>597</v>
      </c>
      <c r="D212" s="103">
        <v>213711</v>
      </c>
      <c r="E212" s="103" t="s">
        <v>707</v>
      </c>
      <c r="F212" s="18">
        <v>31</v>
      </c>
      <c r="G212" s="101">
        <v>213442</v>
      </c>
      <c r="H212" s="103" t="s">
        <v>707</v>
      </c>
      <c r="I212" s="100" t="s">
        <v>831</v>
      </c>
      <c r="J212" s="100">
        <v>3</v>
      </c>
      <c r="K212" s="104">
        <v>45113</v>
      </c>
      <c r="L212" s="100" t="s">
        <v>832</v>
      </c>
      <c r="M212" s="106">
        <v>45113.199490740742</v>
      </c>
      <c r="N212" s="100">
        <v>11</v>
      </c>
      <c r="O212" s="100">
        <v>11</v>
      </c>
      <c r="P212" s="100">
        <v>33</v>
      </c>
      <c r="Q212" s="100">
        <v>115</v>
      </c>
    </row>
    <row r="213" spans="1:17" x14ac:dyDescent="0.3">
      <c r="A213" s="100">
        <v>132</v>
      </c>
      <c r="B213" s="103" t="s">
        <v>596</v>
      </c>
      <c r="C213" s="103" t="s">
        <v>597</v>
      </c>
      <c r="D213" s="103">
        <v>213711</v>
      </c>
      <c r="E213" s="103" t="s">
        <v>707</v>
      </c>
      <c r="F213" s="18">
        <v>31</v>
      </c>
      <c r="G213" s="101">
        <v>213442</v>
      </c>
      <c r="H213" s="103" t="s">
        <v>707</v>
      </c>
      <c r="I213" s="100" t="s">
        <v>833</v>
      </c>
      <c r="J213" s="100">
        <v>1</v>
      </c>
      <c r="K213" s="104">
        <v>45113</v>
      </c>
      <c r="L213" s="100" t="s">
        <v>834</v>
      </c>
      <c r="M213" s="106">
        <v>45113.200671296298</v>
      </c>
      <c r="N213" s="100">
        <v>11</v>
      </c>
      <c r="O213" s="100">
        <v>11</v>
      </c>
      <c r="P213" s="100">
        <v>34</v>
      </c>
      <c r="Q213" s="100">
        <v>116</v>
      </c>
    </row>
    <row r="214" spans="1:17" x14ac:dyDescent="0.3">
      <c r="A214" s="100">
        <v>133</v>
      </c>
      <c r="B214" s="103" t="s">
        <v>596</v>
      </c>
      <c r="C214" s="103" t="s">
        <v>597</v>
      </c>
      <c r="D214" s="103">
        <v>213711</v>
      </c>
      <c r="E214" s="103" t="s">
        <v>707</v>
      </c>
      <c r="F214" s="18">
        <v>31</v>
      </c>
      <c r="G214" s="101">
        <v>213442</v>
      </c>
      <c r="H214" s="103" t="s">
        <v>707</v>
      </c>
      <c r="I214" s="100" t="s">
        <v>835</v>
      </c>
      <c r="J214" s="100">
        <v>3</v>
      </c>
      <c r="K214" s="104">
        <v>45113</v>
      </c>
      <c r="L214" s="100" t="s">
        <v>836</v>
      </c>
      <c r="M214" s="106">
        <v>45113.200844907406</v>
      </c>
      <c r="N214" s="100">
        <v>11</v>
      </c>
      <c r="O214" s="100">
        <v>11</v>
      </c>
      <c r="P214" s="100">
        <v>35</v>
      </c>
      <c r="Q214" s="100">
        <v>117</v>
      </c>
    </row>
    <row r="215" spans="1:17" x14ac:dyDescent="0.3">
      <c r="A215" s="100">
        <v>149</v>
      </c>
      <c r="B215" s="103" t="s">
        <v>596</v>
      </c>
      <c r="C215" s="103" t="s">
        <v>597</v>
      </c>
      <c r="D215" s="103">
        <v>213711</v>
      </c>
      <c r="E215" s="103" t="s">
        <v>707</v>
      </c>
      <c r="F215" s="18">
        <v>31</v>
      </c>
      <c r="G215" s="101">
        <v>213442</v>
      </c>
      <c r="H215" s="103" t="s">
        <v>707</v>
      </c>
      <c r="I215" s="100" t="s">
        <v>868</v>
      </c>
      <c r="J215" s="100">
        <v>0</v>
      </c>
      <c r="K215" s="104">
        <v>45113</v>
      </c>
      <c r="L215" s="100" t="s">
        <v>869</v>
      </c>
      <c r="M215" s="106">
        <v>45113.285856481481</v>
      </c>
      <c r="N215" s="100">
        <v>11</v>
      </c>
      <c r="O215" s="100">
        <v>11</v>
      </c>
      <c r="P215" s="100">
        <v>36</v>
      </c>
      <c r="Q215" s="100">
        <v>133</v>
      </c>
    </row>
    <row r="216" spans="1:17" x14ac:dyDescent="0.3">
      <c r="A216" s="100">
        <v>160</v>
      </c>
      <c r="B216" s="103" t="s">
        <v>596</v>
      </c>
      <c r="C216" s="103" t="s">
        <v>597</v>
      </c>
      <c r="D216" s="103">
        <v>213711</v>
      </c>
      <c r="E216" s="103" t="s">
        <v>707</v>
      </c>
      <c r="F216" s="18">
        <v>31</v>
      </c>
      <c r="G216" s="101">
        <v>213442</v>
      </c>
      <c r="H216" s="103" t="s">
        <v>707</v>
      </c>
      <c r="I216" s="100" t="s">
        <v>890</v>
      </c>
      <c r="J216" s="100">
        <v>0</v>
      </c>
      <c r="K216" s="104">
        <v>45113</v>
      </c>
      <c r="L216" s="100" t="s">
        <v>891</v>
      </c>
      <c r="M216" s="106">
        <v>45113.409768518519</v>
      </c>
      <c r="N216" s="100">
        <v>11</v>
      </c>
      <c r="O216" s="100">
        <v>11</v>
      </c>
      <c r="P216" s="100">
        <v>37</v>
      </c>
      <c r="Q216" s="100">
        <v>144</v>
      </c>
    </row>
    <row r="217" spans="1:17" x14ac:dyDescent="0.3">
      <c r="A217" s="100">
        <v>72</v>
      </c>
      <c r="B217" s="103" t="s">
        <v>596</v>
      </c>
      <c r="C217" s="103" t="s">
        <v>597</v>
      </c>
      <c r="D217" s="103">
        <v>213711</v>
      </c>
      <c r="E217" s="103" t="s">
        <v>712</v>
      </c>
      <c r="F217" s="18">
        <v>15</v>
      </c>
      <c r="G217" s="101">
        <v>202196</v>
      </c>
      <c r="H217" s="103" t="s">
        <v>712</v>
      </c>
      <c r="I217" s="100" t="s">
        <v>713</v>
      </c>
      <c r="J217" s="100">
        <v>2</v>
      </c>
      <c r="K217" s="104">
        <v>45112</v>
      </c>
      <c r="L217" s="100" t="s">
        <v>714</v>
      </c>
      <c r="M217" s="106">
        <v>45112.702800925923</v>
      </c>
      <c r="N217" s="100">
        <v>12</v>
      </c>
      <c r="O217" s="100">
        <v>12</v>
      </c>
      <c r="P217" s="100">
        <v>1</v>
      </c>
      <c r="Q217" s="100">
        <v>56</v>
      </c>
    </row>
    <row r="218" spans="1:17" x14ac:dyDescent="0.3">
      <c r="A218" s="100">
        <v>73</v>
      </c>
      <c r="B218" s="103" t="s">
        <v>596</v>
      </c>
      <c r="C218" s="103" t="s">
        <v>597</v>
      </c>
      <c r="D218" s="103">
        <v>213711</v>
      </c>
      <c r="E218" s="103" t="s">
        <v>712</v>
      </c>
      <c r="F218" s="18">
        <v>15</v>
      </c>
      <c r="G218" s="101">
        <v>202196</v>
      </c>
      <c r="H218" s="103" t="s">
        <v>712</v>
      </c>
      <c r="I218" s="100" t="s">
        <v>715</v>
      </c>
      <c r="J218" s="100">
        <v>2</v>
      </c>
      <c r="K218" s="104">
        <v>45112</v>
      </c>
      <c r="L218" s="100" t="s">
        <v>716</v>
      </c>
      <c r="M218" s="106">
        <v>45112.703043981484</v>
      </c>
      <c r="N218" s="100">
        <v>12</v>
      </c>
      <c r="O218" s="100">
        <v>12</v>
      </c>
      <c r="P218" s="100">
        <v>2</v>
      </c>
      <c r="Q218" s="100">
        <v>57</v>
      </c>
    </row>
    <row r="219" spans="1:17" x14ac:dyDescent="0.3">
      <c r="A219" s="100">
        <v>74</v>
      </c>
      <c r="B219" s="103" t="s">
        <v>596</v>
      </c>
      <c r="C219" s="103" t="s">
        <v>597</v>
      </c>
      <c r="D219" s="103">
        <v>213711</v>
      </c>
      <c r="E219" s="103" t="s">
        <v>712</v>
      </c>
      <c r="F219" s="18">
        <v>15</v>
      </c>
      <c r="G219" s="101">
        <v>202196</v>
      </c>
      <c r="H219" s="103" t="s">
        <v>712</v>
      </c>
      <c r="I219" s="100" t="s">
        <v>717</v>
      </c>
      <c r="J219" s="100">
        <v>0</v>
      </c>
      <c r="K219" s="104">
        <v>45112</v>
      </c>
      <c r="L219" s="100" t="s">
        <v>718</v>
      </c>
      <c r="M219" s="106">
        <v>45112.703611111108</v>
      </c>
      <c r="N219" s="100">
        <v>12</v>
      </c>
      <c r="O219" s="100">
        <v>12</v>
      </c>
      <c r="P219" s="100">
        <v>3</v>
      </c>
      <c r="Q219" s="100">
        <v>58</v>
      </c>
    </row>
    <row r="220" spans="1:17" x14ac:dyDescent="0.3">
      <c r="A220" s="100">
        <v>75</v>
      </c>
      <c r="B220" s="103" t="s">
        <v>596</v>
      </c>
      <c r="C220" s="103" t="s">
        <v>597</v>
      </c>
      <c r="D220" s="103">
        <v>213711</v>
      </c>
      <c r="E220" s="103" t="s">
        <v>712</v>
      </c>
      <c r="F220" s="18">
        <v>15</v>
      </c>
      <c r="G220" s="101">
        <v>202196</v>
      </c>
      <c r="H220" s="103" t="s">
        <v>712</v>
      </c>
      <c r="I220" s="100" t="s">
        <v>719</v>
      </c>
      <c r="J220" s="100">
        <v>2</v>
      </c>
      <c r="K220" s="104">
        <v>45112</v>
      </c>
      <c r="L220" s="100" t="s">
        <v>720</v>
      </c>
      <c r="M220" s="106">
        <v>45112.703900462962</v>
      </c>
      <c r="N220" s="100">
        <v>12</v>
      </c>
      <c r="O220" s="100">
        <v>12</v>
      </c>
      <c r="P220" s="100">
        <v>4</v>
      </c>
      <c r="Q220" s="100">
        <v>59</v>
      </c>
    </row>
    <row r="221" spans="1:17" x14ac:dyDescent="0.3">
      <c r="A221" s="100">
        <v>76</v>
      </c>
      <c r="B221" s="103" t="s">
        <v>596</v>
      </c>
      <c r="C221" s="103" t="s">
        <v>597</v>
      </c>
      <c r="D221" s="103">
        <v>213711</v>
      </c>
      <c r="E221" s="103" t="s">
        <v>712</v>
      </c>
      <c r="F221" s="18">
        <v>15</v>
      </c>
      <c r="G221" s="101">
        <v>202196</v>
      </c>
      <c r="H221" s="103" t="s">
        <v>712</v>
      </c>
      <c r="I221" s="100" t="s">
        <v>721</v>
      </c>
      <c r="J221" s="100">
        <v>1</v>
      </c>
      <c r="K221" s="104">
        <v>45112</v>
      </c>
      <c r="L221" s="100" t="s">
        <v>722</v>
      </c>
      <c r="M221" s="106">
        <v>45112.703993055555</v>
      </c>
      <c r="N221" s="100">
        <v>12</v>
      </c>
      <c r="O221" s="100">
        <v>12</v>
      </c>
      <c r="P221" s="100">
        <v>5</v>
      </c>
      <c r="Q221" s="100">
        <v>60</v>
      </c>
    </row>
    <row r="222" spans="1:17" x14ac:dyDescent="0.3">
      <c r="A222" s="100">
        <v>77</v>
      </c>
      <c r="B222" s="103" t="s">
        <v>596</v>
      </c>
      <c r="C222" s="103" t="s">
        <v>597</v>
      </c>
      <c r="D222" s="103">
        <v>213711</v>
      </c>
      <c r="E222" s="103" t="s">
        <v>712</v>
      </c>
      <c r="F222" s="18">
        <v>15</v>
      </c>
      <c r="G222" s="101">
        <v>202196</v>
      </c>
      <c r="H222" s="103" t="s">
        <v>712</v>
      </c>
      <c r="I222" s="100" t="s">
        <v>723</v>
      </c>
      <c r="J222" s="100">
        <v>1</v>
      </c>
      <c r="K222" s="104">
        <v>45112</v>
      </c>
      <c r="L222" s="100" t="s">
        <v>724</v>
      </c>
      <c r="M222" s="106">
        <v>45112.705787037034</v>
      </c>
      <c r="N222" s="100">
        <v>12</v>
      </c>
      <c r="O222" s="100">
        <v>12</v>
      </c>
      <c r="P222" s="100">
        <v>6</v>
      </c>
      <c r="Q222" s="100">
        <v>61</v>
      </c>
    </row>
    <row r="223" spans="1:17" x14ac:dyDescent="0.3">
      <c r="A223" s="100">
        <v>78</v>
      </c>
      <c r="B223" s="103" t="s">
        <v>596</v>
      </c>
      <c r="C223" s="103" t="s">
        <v>597</v>
      </c>
      <c r="D223" s="103">
        <v>213711</v>
      </c>
      <c r="E223" s="103" t="s">
        <v>712</v>
      </c>
      <c r="F223" s="18">
        <v>15</v>
      </c>
      <c r="G223" s="101">
        <v>202196</v>
      </c>
      <c r="H223" s="103" t="s">
        <v>712</v>
      </c>
      <c r="I223" s="100" t="s">
        <v>725</v>
      </c>
      <c r="J223" s="100">
        <v>2</v>
      </c>
      <c r="K223" s="104">
        <v>45112</v>
      </c>
      <c r="L223" s="100" t="s">
        <v>726</v>
      </c>
      <c r="M223" s="106">
        <v>45112.712800925925</v>
      </c>
      <c r="N223" s="100">
        <v>12</v>
      </c>
      <c r="O223" s="100">
        <v>12</v>
      </c>
      <c r="P223" s="100">
        <v>7</v>
      </c>
      <c r="Q223" s="100">
        <v>62</v>
      </c>
    </row>
    <row r="224" spans="1:17" x14ac:dyDescent="0.3">
      <c r="A224" s="100">
        <v>79</v>
      </c>
      <c r="B224" s="103" t="s">
        <v>596</v>
      </c>
      <c r="C224" s="103" t="s">
        <v>597</v>
      </c>
      <c r="D224" s="103">
        <v>213711</v>
      </c>
      <c r="E224" s="103" t="s">
        <v>712</v>
      </c>
      <c r="F224" s="18">
        <v>15</v>
      </c>
      <c r="G224" s="101">
        <v>202196</v>
      </c>
      <c r="H224" s="103" t="s">
        <v>712</v>
      </c>
      <c r="I224" s="100" t="s">
        <v>727</v>
      </c>
      <c r="J224" s="100">
        <v>2</v>
      </c>
      <c r="K224" s="104">
        <v>45112</v>
      </c>
      <c r="L224" s="100" t="s">
        <v>728</v>
      </c>
      <c r="M224" s="106">
        <v>45112.715381944443</v>
      </c>
      <c r="N224" s="100">
        <v>12</v>
      </c>
      <c r="O224" s="100">
        <v>12</v>
      </c>
      <c r="P224" s="100">
        <v>8</v>
      </c>
      <c r="Q224" s="100">
        <v>63</v>
      </c>
    </row>
    <row r="225" spans="1:17" x14ac:dyDescent="0.3">
      <c r="A225" s="100">
        <v>80</v>
      </c>
      <c r="B225" s="103" t="s">
        <v>596</v>
      </c>
      <c r="C225" s="103" t="s">
        <v>597</v>
      </c>
      <c r="D225" s="103">
        <v>213711</v>
      </c>
      <c r="E225" s="103" t="s">
        <v>712</v>
      </c>
      <c r="F225" s="18">
        <v>15</v>
      </c>
      <c r="G225" s="101">
        <v>202196</v>
      </c>
      <c r="H225" s="103" t="s">
        <v>712</v>
      </c>
      <c r="I225" s="100" t="s">
        <v>729</v>
      </c>
      <c r="J225" s="100">
        <v>2</v>
      </c>
      <c r="K225" s="104">
        <v>45112</v>
      </c>
      <c r="L225" s="100" t="s">
        <v>730</v>
      </c>
      <c r="M225" s="106">
        <v>45112.719548611109</v>
      </c>
      <c r="N225" s="100">
        <v>12</v>
      </c>
      <c r="O225" s="100">
        <v>12</v>
      </c>
      <c r="P225" s="100">
        <v>9</v>
      </c>
      <c r="Q225" s="100">
        <v>64</v>
      </c>
    </row>
    <row r="226" spans="1:17" x14ac:dyDescent="0.3">
      <c r="A226" s="100">
        <v>81</v>
      </c>
      <c r="B226" s="103" t="s">
        <v>596</v>
      </c>
      <c r="C226" s="103" t="s">
        <v>597</v>
      </c>
      <c r="D226" s="103">
        <v>213711</v>
      </c>
      <c r="E226" s="103" t="s">
        <v>712</v>
      </c>
      <c r="F226" s="18">
        <v>15</v>
      </c>
      <c r="G226" s="101">
        <v>202196</v>
      </c>
      <c r="H226" s="103" t="s">
        <v>712</v>
      </c>
      <c r="I226" s="100" t="s">
        <v>731</v>
      </c>
      <c r="J226" s="100">
        <v>3</v>
      </c>
      <c r="K226" s="104">
        <v>45112</v>
      </c>
      <c r="L226" s="100" t="s">
        <v>732</v>
      </c>
      <c r="M226" s="106">
        <v>45112.755567129629</v>
      </c>
      <c r="N226" s="100">
        <v>12</v>
      </c>
      <c r="O226" s="100">
        <v>12</v>
      </c>
      <c r="P226" s="100">
        <v>10</v>
      </c>
      <c r="Q226" s="100">
        <v>65</v>
      </c>
    </row>
    <row r="227" spans="1:17" x14ac:dyDescent="0.3">
      <c r="A227" s="100">
        <v>82</v>
      </c>
      <c r="B227" s="103" t="s">
        <v>596</v>
      </c>
      <c r="C227" s="103" t="s">
        <v>597</v>
      </c>
      <c r="D227" s="103">
        <v>213711</v>
      </c>
      <c r="E227" s="103" t="s">
        <v>712</v>
      </c>
      <c r="F227" s="18">
        <v>15</v>
      </c>
      <c r="G227" s="101">
        <v>202196</v>
      </c>
      <c r="H227" s="103" t="s">
        <v>712</v>
      </c>
      <c r="I227" s="100" t="s">
        <v>733</v>
      </c>
      <c r="J227" s="100">
        <v>2</v>
      </c>
      <c r="K227" s="104">
        <v>45112</v>
      </c>
      <c r="L227" s="100" t="s">
        <v>734</v>
      </c>
      <c r="M227" s="106">
        <v>45112.785787037035</v>
      </c>
      <c r="N227" s="100">
        <v>12</v>
      </c>
      <c r="O227" s="100">
        <v>12</v>
      </c>
      <c r="P227" s="100">
        <v>11</v>
      </c>
      <c r="Q227" s="100">
        <v>66</v>
      </c>
    </row>
    <row r="228" spans="1:17" x14ac:dyDescent="0.3">
      <c r="A228" s="100">
        <v>83</v>
      </c>
      <c r="B228" s="103" t="s">
        <v>596</v>
      </c>
      <c r="C228" s="103" t="s">
        <v>597</v>
      </c>
      <c r="D228" s="103">
        <v>213711</v>
      </c>
      <c r="E228" s="103" t="s">
        <v>712</v>
      </c>
      <c r="F228" s="18">
        <v>15</v>
      </c>
      <c r="G228" s="101">
        <v>202196</v>
      </c>
      <c r="H228" s="103" t="s">
        <v>712</v>
      </c>
      <c r="I228" s="100" t="s">
        <v>735</v>
      </c>
      <c r="J228" s="100">
        <v>1</v>
      </c>
      <c r="K228" s="104">
        <v>45112</v>
      </c>
      <c r="L228" s="100" t="s">
        <v>736</v>
      </c>
      <c r="M228" s="106">
        <v>45112.786030092589</v>
      </c>
      <c r="N228" s="100">
        <v>12</v>
      </c>
      <c r="O228" s="100">
        <v>12</v>
      </c>
      <c r="P228" s="100">
        <v>12</v>
      </c>
      <c r="Q228" s="100">
        <v>67</v>
      </c>
    </row>
    <row r="229" spans="1:17" x14ac:dyDescent="0.3">
      <c r="A229" s="100">
        <v>84</v>
      </c>
      <c r="B229" s="103" t="s">
        <v>596</v>
      </c>
      <c r="C229" s="103" t="s">
        <v>597</v>
      </c>
      <c r="D229" s="103">
        <v>213711</v>
      </c>
      <c r="E229" s="103" t="s">
        <v>712</v>
      </c>
      <c r="F229" s="18">
        <v>15</v>
      </c>
      <c r="G229" s="101">
        <v>202196</v>
      </c>
      <c r="H229" s="103" t="s">
        <v>712</v>
      </c>
      <c r="I229" s="100" t="s">
        <v>737</v>
      </c>
      <c r="J229" s="100">
        <v>2</v>
      </c>
      <c r="K229" s="104">
        <v>45112</v>
      </c>
      <c r="L229" s="100" t="s">
        <v>738</v>
      </c>
      <c r="M229" s="106">
        <v>45112.786180555559</v>
      </c>
      <c r="N229" s="100">
        <v>12</v>
      </c>
      <c r="O229" s="100">
        <v>12</v>
      </c>
      <c r="P229" s="100">
        <v>13</v>
      </c>
      <c r="Q229" s="100">
        <v>68</v>
      </c>
    </row>
    <row r="230" spans="1:17" x14ac:dyDescent="0.3">
      <c r="A230" s="100">
        <v>150</v>
      </c>
      <c r="B230" s="103" t="s">
        <v>596</v>
      </c>
      <c r="C230" s="103" t="s">
        <v>597</v>
      </c>
      <c r="D230" s="103">
        <v>213711</v>
      </c>
      <c r="E230" s="103" t="s">
        <v>712</v>
      </c>
      <c r="F230" s="18">
        <v>15</v>
      </c>
      <c r="G230" s="101">
        <v>202196</v>
      </c>
      <c r="H230" s="103" t="s">
        <v>712</v>
      </c>
      <c r="I230" s="100" t="s">
        <v>870</v>
      </c>
      <c r="J230" s="100">
        <v>2</v>
      </c>
      <c r="K230" s="104">
        <v>45113</v>
      </c>
      <c r="L230" s="100" t="s">
        <v>871</v>
      </c>
      <c r="M230" s="106">
        <v>45113.289641203701</v>
      </c>
      <c r="N230" s="100">
        <v>12</v>
      </c>
      <c r="O230" s="100">
        <v>12</v>
      </c>
      <c r="P230" s="100">
        <v>14</v>
      </c>
      <c r="Q230" s="100">
        <v>134</v>
      </c>
    </row>
    <row r="231" spans="1:17" x14ac:dyDescent="0.3">
      <c r="A231" s="100">
        <v>151</v>
      </c>
      <c r="B231" s="103" t="s">
        <v>596</v>
      </c>
      <c r="C231" s="103" t="s">
        <v>597</v>
      </c>
      <c r="D231" s="103">
        <v>213711</v>
      </c>
      <c r="E231" s="103" t="s">
        <v>712</v>
      </c>
      <c r="F231" s="18">
        <v>15</v>
      </c>
      <c r="G231" s="101">
        <v>202196</v>
      </c>
      <c r="H231" s="103" t="s">
        <v>712</v>
      </c>
      <c r="I231" s="100" t="s">
        <v>872</v>
      </c>
      <c r="J231" s="100">
        <v>0</v>
      </c>
      <c r="K231" s="104">
        <v>45113</v>
      </c>
      <c r="L231" s="100" t="s">
        <v>873</v>
      </c>
      <c r="M231" s="106">
        <v>45113.29005787037</v>
      </c>
      <c r="N231" s="100">
        <v>12</v>
      </c>
      <c r="O231" s="100">
        <v>12</v>
      </c>
      <c r="P231" s="100">
        <v>15</v>
      </c>
      <c r="Q231" s="100">
        <v>135</v>
      </c>
    </row>
    <row r="232" spans="1:17" x14ac:dyDescent="0.3">
      <c r="A232" s="100">
        <v>152</v>
      </c>
      <c r="B232" s="103" t="s">
        <v>596</v>
      </c>
      <c r="C232" s="103" t="s">
        <v>597</v>
      </c>
      <c r="D232" s="103">
        <v>213711</v>
      </c>
      <c r="E232" s="103" t="s">
        <v>712</v>
      </c>
      <c r="F232" s="18">
        <v>15</v>
      </c>
      <c r="G232" s="101">
        <v>202196</v>
      </c>
      <c r="H232" s="103" t="s">
        <v>712</v>
      </c>
      <c r="I232" s="100" t="s">
        <v>874</v>
      </c>
      <c r="J232" s="100">
        <v>2</v>
      </c>
      <c r="K232" s="104">
        <v>45113</v>
      </c>
      <c r="L232" s="100" t="s">
        <v>875</v>
      </c>
      <c r="M232" s="106">
        <v>45113.290081018517</v>
      </c>
      <c r="N232" s="100">
        <v>12</v>
      </c>
      <c r="O232" s="100">
        <v>12</v>
      </c>
      <c r="P232" s="100">
        <v>16</v>
      </c>
      <c r="Q232" s="100">
        <v>136</v>
      </c>
    </row>
    <row r="233" spans="1:17" x14ac:dyDescent="0.3">
      <c r="A233" s="100">
        <v>153</v>
      </c>
      <c r="B233" s="103" t="s">
        <v>596</v>
      </c>
      <c r="C233" s="103" t="s">
        <v>597</v>
      </c>
      <c r="D233" s="103">
        <v>213711</v>
      </c>
      <c r="E233" s="103" t="s">
        <v>712</v>
      </c>
      <c r="F233" s="18">
        <v>15</v>
      </c>
      <c r="G233" s="101">
        <v>202196</v>
      </c>
      <c r="H233" s="103" t="s">
        <v>712</v>
      </c>
      <c r="I233" s="100" t="s">
        <v>876</v>
      </c>
      <c r="J233" s="100">
        <v>2</v>
      </c>
      <c r="K233" s="104">
        <v>45113</v>
      </c>
      <c r="L233" s="100" t="s">
        <v>877</v>
      </c>
      <c r="M233" s="106">
        <v>45113.293622685182</v>
      </c>
      <c r="N233" s="100">
        <v>12</v>
      </c>
      <c r="O233" s="100">
        <v>12</v>
      </c>
      <c r="P233" s="100">
        <v>17</v>
      </c>
      <c r="Q233" s="100">
        <v>137</v>
      </c>
    </row>
    <row r="234" spans="1:17" x14ac:dyDescent="0.3">
      <c r="A234" s="100">
        <v>154</v>
      </c>
      <c r="B234" s="103" t="s">
        <v>596</v>
      </c>
      <c r="C234" s="103" t="s">
        <v>597</v>
      </c>
      <c r="D234" s="103">
        <v>213711</v>
      </c>
      <c r="E234" s="103" t="s">
        <v>712</v>
      </c>
      <c r="F234" s="18">
        <v>15</v>
      </c>
      <c r="G234" s="101">
        <v>202196</v>
      </c>
      <c r="H234" s="103" t="s">
        <v>712</v>
      </c>
      <c r="I234" s="100" t="s">
        <v>878</v>
      </c>
      <c r="J234" s="100">
        <v>2</v>
      </c>
      <c r="K234" s="104">
        <v>45113</v>
      </c>
      <c r="L234" s="100" t="s">
        <v>879</v>
      </c>
      <c r="M234" s="106">
        <v>45113.397291666668</v>
      </c>
      <c r="N234" s="100">
        <v>12</v>
      </c>
      <c r="O234" s="100">
        <v>12</v>
      </c>
      <c r="P234" s="100">
        <v>18</v>
      </c>
      <c r="Q234" s="100">
        <v>138</v>
      </c>
    </row>
    <row r="235" spans="1:17" x14ac:dyDescent="0.3">
      <c r="A235" s="100">
        <v>155</v>
      </c>
      <c r="B235" s="103" t="s">
        <v>596</v>
      </c>
      <c r="C235" s="103" t="s">
        <v>597</v>
      </c>
      <c r="D235" s="103">
        <v>213711</v>
      </c>
      <c r="E235" s="103" t="s">
        <v>712</v>
      </c>
      <c r="F235" s="18">
        <v>15</v>
      </c>
      <c r="G235" s="101">
        <v>202196</v>
      </c>
      <c r="H235" s="103" t="s">
        <v>712</v>
      </c>
      <c r="I235" s="100" t="s">
        <v>880</v>
      </c>
      <c r="J235" s="100">
        <v>5</v>
      </c>
      <c r="K235" s="104">
        <v>45113</v>
      </c>
      <c r="L235" s="100" t="s">
        <v>881</v>
      </c>
      <c r="M235" s="106">
        <v>45113.397349537037</v>
      </c>
      <c r="N235" s="100">
        <v>12</v>
      </c>
      <c r="O235" s="100">
        <v>12</v>
      </c>
      <c r="P235" s="100">
        <v>19</v>
      </c>
      <c r="Q235" s="100">
        <v>139</v>
      </c>
    </row>
    <row r="236" spans="1:17" x14ac:dyDescent="0.3">
      <c r="A236" s="100">
        <v>156</v>
      </c>
      <c r="B236" s="103" t="s">
        <v>596</v>
      </c>
      <c r="C236" s="103" t="s">
        <v>597</v>
      </c>
      <c r="D236" s="103">
        <v>213711</v>
      </c>
      <c r="E236" s="103" t="s">
        <v>712</v>
      </c>
      <c r="F236" s="18">
        <v>15</v>
      </c>
      <c r="G236" s="101">
        <v>202196</v>
      </c>
      <c r="H236" s="103" t="s">
        <v>712</v>
      </c>
      <c r="I236" s="100" t="s">
        <v>882</v>
      </c>
      <c r="J236" s="100">
        <v>1</v>
      </c>
      <c r="K236" s="104">
        <v>45113</v>
      </c>
      <c r="L236" s="100" t="s">
        <v>883</v>
      </c>
      <c r="M236" s="106">
        <v>45113.399062500001</v>
      </c>
      <c r="N236" s="100">
        <v>12</v>
      </c>
      <c r="O236" s="100">
        <v>12</v>
      </c>
      <c r="P236" s="100">
        <v>20</v>
      </c>
      <c r="Q236" s="100">
        <v>140</v>
      </c>
    </row>
    <row r="237" spans="1:17" x14ac:dyDescent="0.3">
      <c r="A237" s="100">
        <v>157</v>
      </c>
      <c r="B237" s="103" t="s">
        <v>596</v>
      </c>
      <c r="C237" s="103" t="s">
        <v>597</v>
      </c>
      <c r="D237" s="103">
        <v>213711</v>
      </c>
      <c r="E237" s="103" t="s">
        <v>712</v>
      </c>
      <c r="F237" s="18">
        <v>15</v>
      </c>
      <c r="G237" s="101">
        <v>202196</v>
      </c>
      <c r="H237" s="103" t="s">
        <v>712</v>
      </c>
      <c r="I237" s="100" t="s">
        <v>884</v>
      </c>
      <c r="J237" s="100">
        <v>3</v>
      </c>
      <c r="K237" s="104">
        <v>45113</v>
      </c>
      <c r="L237" s="100" t="s">
        <v>885</v>
      </c>
      <c r="M237" s="106">
        <v>45113.400787037041</v>
      </c>
      <c r="N237" s="100">
        <v>12</v>
      </c>
      <c r="O237" s="100">
        <v>12</v>
      </c>
      <c r="P237" s="100">
        <v>21</v>
      </c>
      <c r="Q237" s="100">
        <v>141</v>
      </c>
    </row>
    <row r="238" spans="1:17" x14ac:dyDescent="0.3">
      <c r="A238" s="100">
        <v>161</v>
      </c>
      <c r="B238" s="103" t="s">
        <v>596</v>
      </c>
      <c r="C238" s="103" t="s">
        <v>597</v>
      </c>
      <c r="D238" s="103">
        <v>213711</v>
      </c>
      <c r="E238" s="103" t="s">
        <v>712</v>
      </c>
      <c r="F238" s="18">
        <v>15</v>
      </c>
      <c r="G238" s="101">
        <v>202196</v>
      </c>
      <c r="H238" s="103" t="s">
        <v>712</v>
      </c>
      <c r="I238" s="100" t="s">
        <v>892</v>
      </c>
      <c r="J238" s="100">
        <v>0</v>
      </c>
      <c r="K238" s="104">
        <v>45113</v>
      </c>
      <c r="L238" s="100" t="s">
        <v>893</v>
      </c>
      <c r="M238" s="106">
        <v>45113.442708333336</v>
      </c>
      <c r="N238" s="100">
        <v>12</v>
      </c>
      <c r="O238" s="100">
        <v>12</v>
      </c>
      <c r="P238" s="100">
        <v>22</v>
      </c>
      <c r="Q238" s="100">
        <v>145</v>
      </c>
    </row>
    <row r="239" spans="1:17" x14ac:dyDescent="0.3">
      <c r="A239" s="100">
        <v>162</v>
      </c>
      <c r="B239" s="103" t="s">
        <v>596</v>
      </c>
      <c r="C239" s="103" t="s">
        <v>597</v>
      </c>
      <c r="D239" s="103">
        <v>213711</v>
      </c>
      <c r="E239" s="103" t="s">
        <v>712</v>
      </c>
      <c r="F239" s="18">
        <v>15</v>
      </c>
      <c r="G239" s="101">
        <v>202196</v>
      </c>
      <c r="H239" s="103" t="s">
        <v>712</v>
      </c>
      <c r="I239" s="100" t="s">
        <v>894</v>
      </c>
      <c r="J239" s="100">
        <v>3</v>
      </c>
      <c r="K239" s="104">
        <v>45113</v>
      </c>
      <c r="L239" s="100" t="s">
        <v>895</v>
      </c>
      <c r="M239" s="106">
        <v>45113.443692129629</v>
      </c>
      <c r="N239" s="100">
        <v>12</v>
      </c>
      <c r="O239" s="100">
        <v>12</v>
      </c>
      <c r="P239" s="100">
        <v>23</v>
      </c>
      <c r="Q239" s="100">
        <v>146</v>
      </c>
    </row>
    <row r="240" spans="1:17" x14ac:dyDescent="0.3">
      <c r="A240" s="100">
        <v>165</v>
      </c>
      <c r="B240" s="103" t="s">
        <v>596</v>
      </c>
      <c r="C240" s="103" t="s">
        <v>597</v>
      </c>
      <c r="D240" s="103">
        <v>213711</v>
      </c>
      <c r="E240" s="103" t="s">
        <v>712</v>
      </c>
      <c r="F240" s="18">
        <v>15</v>
      </c>
      <c r="G240" s="101">
        <v>202196</v>
      </c>
      <c r="H240" s="103" t="s">
        <v>712</v>
      </c>
      <c r="I240" s="100" t="s">
        <v>900</v>
      </c>
      <c r="J240" s="100">
        <v>1</v>
      </c>
      <c r="K240" s="104">
        <v>45113</v>
      </c>
      <c r="L240" s="100" t="s">
        <v>901</v>
      </c>
      <c r="M240" s="106">
        <v>45113.446331018517</v>
      </c>
      <c r="N240" s="100">
        <v>12</v>
      </c>
      <c r="O240" s="100">
        <v>12</v>
      </c>
      <c r="P240" s="100">
        <v>24</v>
      </c>
      <c r="Q240" s="100">
        <v>149</v>
      </c>
    </row>
    <row r="241" spans="1:17" x14ac:dyDescent="0.3">
      <c r="A241" s="100">
        <v>169</v>
      </c>
      <c r="B241" s="103" t="s">
        <v>596</v>
      </c>
      <c r="C241" s="103" t="s">
        <v>597</v>
      </c>
      <c r="D241" s="103">
        <v>213711</v>
      </c>
      <c r="E241" s="103" t="s">
        <v>712</v>
      </c>
      <c r="F241" s="18">
        <v>15</v>
      </c>
      <c r="G241" s="101">
        <v>202196</v>
      </c>
      <c r="H241" s="103" t="s">
        <v>712</v>
      </c>
      <c r="I241" s="100" t="s">
        <v>910</v>
      </c>
      <c r="J241" s="100">
        <v>3</v>
      </c>
      <c r="K241" s="104">
        <v>45113</v>
      </c>
      <c r="L241" s="100" t="s">
        <v>911</v>
      </c>
      <c r="M241" s="106">
        <v>45113.570335648146</v>
      </c>
      <c r="N241" s="100">
        <v>12</v>
      </c>
      <c r="O241" s="100">
        <v>12</v>
      </c>
      <c r="P241" s="100">
        <v>25</v>
      </c>
      <c r="Q241" s="100">
        <v>153</v>
      </c>
    </row>
    <row r="242" spans="1:17" x14ac:dyDescent="0.3">
      <c r="A242" s="100">
        <v>170</v>
      </c>
      <c r="B242" s="103" t="s">
        <v>596</v>
      </c>
      <c r="C242" s="103" t="s">
        <v>597</v>
      </c>
      <c r="D242" s="103">
        <v>213711</v>
      </c>
      <c r="E242" s="103" t="s">
        <v>712</v>
      </c>
      <c r="F242" s="18">
        <v>15</v>
      </c>
      <c r="G242" s="101">
        <v>202196</v>
      </c>
      <c r="H242" s="103" t="s">
        <v>712</v>
      </c>
      <c r="I242" s="100" t="s">
        <v>912</v>
      </c>
      <c r="J242" s="100">
        <v>1</v>
      </c>
      <c r="K242" s="104">
        <v>45113</v>
      </c>
      <c r="L242" s="100" t="s">
        <v>913</v>
      </c>
      <c r="M242" s="106">
        <v>45113.572974537034</v>
      </c>
      <c r="N242" s="100">
        <v>12</v>
      </c>
      <c r="O242" s="100">
        <v>12</v>
      </c>
      <c r="P242" s="100">
        <v>26</v>
      </c>
      <c r="Q242" s="100">
        <v>154</v>
      </c>
    </row>
    <row r="243" spans="1:17" x14ac:dyDescent="0.3">
      <c r="A243" s="100">
        <v>171</v>
      </c>
      <c r="B243" s="103" t="s">
        <v>596</v>
      </c>
      <c r="C243" s="103" t="s">
        <v>597</v>
      </c>
      <c r="D243" s="103">
        <v>213711</v>
      </c>
      <c r="E243" s="103" t="s">
        <v>712</v>
      </c>
      <c r="F243" s="18">
        <v>15</v>
      </c>
      <c r="G243" s="101">
        <v>202196</v>
      </c>
      <c r="H243" s="103" t="s">
        <v>712</v>
      </c>
      <c r="I243" s="100" t="s">
        <v>914</v>
      </c>
      <c r="J243" s="100">
        <v>1</v>
      </c>
      <c r="K243" s="104">
        <v>45113</v>
      </c>
      <c r="L243" s="100" t="s">
        <v>915</v>
      </c>
      <c r="M243" s="106">
        <v>45113.573009259257</v>
      </c>
      <c r="N243" s="100">
        <v>12</v>
      </c>
      <c r="O243" s="100">
        <v>12</v>
      </c>
      <c r="P243" s="100">
        <v>27</v>
      </c>
      <c r="Q243" s="100">
        <v>155</v>
      </c>
    </row>
    <row r="244" spans="1:17" x14ac:dyDescent="0.3">
      <c r="A244" s="100">
        <v>77</v>
      </c>
      <c r="B244" s="103" t="s">
        <v>356</v>
      </c>
      <c r="C244" s="103" t="s">
        <v>357</v>
      </c>
      <c r="D244" s="103">
        <v>213777</v>
      </c>
      <c r="E244" s="103" t="s">
        <v>470</v>
      </c>
      <c r="F244" s="18">
        <v>26</v>
      </c>
      <c r="G244" s="101">
        <v>213261</v>
      </c>
      <c r="H244" s="103" t="s">
        <v>470</v>
      </c>
      <c r="I244" s="100" t="s">
        <v>471</v>
      </c>
      <c r="J244" s="100">
        <v>2</v>
      </c>
      <c r="K244" s="104">
        <v>45112</v>
      </c>
      <c r="L244" s="100" t="s">
        <v>472</v>
      </c>
      <c r="M244" s="106">
        <v>45112.77103009259</v>
      </c>
      <c r="N244" s="100">
        <v>13</v>
      </c>
      <c r="O244" s="100">
        <v>13</v>
      </c>
      <c r="P244" s="100">
        <v>1</v>
      </c>
      <c r="Q244" s="100">
        <v>57</v>
      </c>
    </row>
    <row r="245" spans="1:17" x14ac:dyDescent="0.3">
      <c r="A245" s="100">
        <v>78</v>
      </c>
      <c r="B245" s="103" t="s">
        <v>356</v>
      </c>
      <c r="C245" s="103" t="s">
        <v>357</v>
      </c>
      <c r="D245" s="103">
        <v>213777</v>
      </c>
      <c r="E245" s="103" t="s">
        <v>470</v>
      </c>
      <c r="F245" s="18">
        <v>26</v>
      </c>
      <c r="G245" s="101">
        <v>213261</v>
      </c>
      <c r="H245" s="103" t="s">
        <v>470</v>
      </c>
      <c r="I245" s="100" t="s">
        <v>473</v>
      </c>
      <c r="J245" s="100">
        <v>2</v>
      </c>
      <c r="K245" s="104">
        <v>45112</v>
      </c>
      <c r="L245" s="100" t="s">
        <v>474</v>
      </c>
      <c r="M245" s="106">
        <v>45112.771331018521</v>
      </c>
      <c r="N245" s="100">
        <v>13</v>
      </c>
      <c r="O245" s="100">
        <v>13</v>
      </c>
      <c r="P245" s="100">
        <v>2</v>
      </c>
      <c r="Q245" s="100">
        <v>58</v>
      </c>
    </row>
    <row r="246" spans="1:17" x14ac:dyDescent="0.3">
      <c r="A246" s="100">
        <v>79</v>
      </c>
      <c r="B246" s="103" t="s">
        <v>356</v>
      </c>
      <c r="C246" s="103" t="s">
        <v>357</v>
      </c>
      <c r="D246" s="103">
        <v>213777</v>
      </c>
      <c r="E246" s="103" t="s">
        <v>470</v>
      </c>
      <c r="F246" s="18">
        <v>26</v>
      </c>
      <c r="G246" s="101">
        <v>213261</v>
      </c>
      <c r="H246" s="103" t="s">
        <v>470</v>
      </c>
      <c r="I246" s="100" t="s">
        <v>475</v>
      </c>
      <c r="J246" s="100">
        <v>1</v>
      </c>
      <c r="K246" s="104">
        <v>45112</v>
      </c>
      <c r="L246" s="100" t="s">
        <v>476</v>
      </c>
      <c r="M246" s="106">
        <v>45112.772627314815</v>
      </c>
      <c r="N246" s="100">
        <v>13</v>
      </c>
      <c r="O246" s="100">
        <v>13</v>
      </c>
      <c r="P246" s="100">
        <v>3</v>
      </c>
      <c r="Q246" s="100">
        <v>59</v>
      </c>
    </row>
    <row r="247" spans="1:17" x14ac:dyDescent="0.3">
      <c r="A247" s="100">
        <v>80</v>
      </c>
      <c r="B247" s="103" t="s">
        <v>356</v>
      </c>
      <c r="C247" s="103" t="s">
        <v>357</v>
      </c>
      <c r="D247" s="103">
        <v>213777</v>
      </c>
      <c r="E247" s="103" t="s">
        <v>470</v>
      </c>
      <c r="F247" s="18">
        <v>26</v>
      </c>
      <c r="G247" s="101">
        <v>213261</v>
      </c>
      <c r="H247" s="103" t="s">
        <v>470</v>
      </c>
      <c r="I247" s="100" t="s">
        <v>477</v>
      </c>
      <c r="J247" s="100">
        <v>2</v>
      </c>
      <c r="K247" s="104">
        <v>45112</v>
      </c>
      <c r="L247" s="100" t="s">
        <v>478</v>
      </c>
      <c r="M247" s="106">
        <v>45112.775995370372</v>
      </c>
      <c r="N247" s="100">
        <v>13</v>
      </c>
      <c r="O247" s="100">
        <v>13</v>
      </c>
      <c r="P247" s="100">
        <v>4</v>
      </c>
      <c r="Q247" s="100">
        <v>60</v>
      </c>
    </row>
    <row r="248" spans="1:17" x14ac:dyDescent="0.3">
      <c r="A248" s="100">
        <v>81</v>
      </c>
      <c r="B248" s="103" t="s">
        <v>356</v>
      </c>
      <c r="C248" s="103" t="s">
        <v>357</v>
      </c>
      <c r="D248" s="103">
        <v>213777</v>
      </c>
      <c r="E248" s="103" t="s">
        <v>470</v>
      </c>
      <c r="F248" s="18">
        <v>26</v>
      </c>
      <c r="G248" s="101">
        <v>213261</v>
      </c>
      <c r="H248" s="103" t="s">
        <v>470</v>
      </c>
      <c r="I248" s="100" t="s">
        <v>479</v>
      </c>
      <c r="J248" s="100">
        <v>0</v>
      </c>
      <c r="K248" s="104">
        <v>45112</v>
      </c>
      <c r="L248" s="100" t="s">
        <v>480</v>
      </c>
      <c r="M248" s="106">
        <v>45112.986111111109</v>
      </c>
      <c r="N248" s="100">
        <v>13</v>
      </c>
      <c r="O248" s="100">
        <v>13</v>
      </c>
      <c r="P248" s="100">
        <v>5</v>
      </c>
      <c r="Q248" s="100">
        <v>61</v>
      </c>
    </row>
    <row r="249" spans="1:17" x14ac:dyDescent="0.3">
      <c r="A249" s="100">
        <v>82</v>
      </c>
      <c r="B249" s="103" t="s">
        <v>356</v>
      </c>
      <c r="C249" s="103" t="s">
        <v>357</v>
      </c>
      <c r="D249" s="103">
        <v>213777</v>
      </c>
      <c r="E249" s="103" t="s">
        <v>470</v>
      </c>
      <c r="F249" s="18">
        <v>26</v>
      </c>
      <c r="G249" s="101">
        <v>213261</v>
      </c>
      <c r="H249" s="103" t="s">
        <v>470</v>
      </c>
      <c r="I249" s="100" t="s">
        <v>481</v>
      </c>
      <c r="J249" s="100">
        <v>0</v>
      </c>
      <c r="K249" s="104">
        <v>45113</v>
      </c>
      <c r="L249" s="100" t="s">
        <v>482</v>
      </c>
      <c r="M249" s="106">
        <v>45113.023159722223</v>
      </c>
      <c r="N249" s="100">
        <v>13</v>
      </c>
      <c r="O249" s="100">
        <v>13</v>
      </c>
      <c r="P249" s="100">
        <v>6</v>
      </c>
      <c r="Q249" s="100">
        <v>62</v>
      </c>
    </row>
    <row r="250" spans="1:17" x14ac:dyDescent="0.3">
      <c r="A250" s="100">
        <v>85</v>
      </c>
      <c r="B250" s="103" t="s">
        <v>596</v>
      </c>
      <c r="C250" s="103" t="s">
        <v>597</v>
      </c>
      <c r="D250" s="103">
        <v>213711</v>
      </c>
      <c r="E250" s="103" t="s">
        <v>344</v>
      </c>
      <c r="F250" s="18">
        <v>13</v>
      </c>
      <c r="G250" s="101">
        <v>202116</v>
      </c>
      <c r="H250" s="103" t="s">
        <v>344</v>
      </c>
      <c r="I250" s="100" t="s">
        <v>739</v>
      </c>
      <c r="J250" s="100">
        <v>1</v>
      </c>
      <c r="K250" s="104">
        <v>45112</v>
      </c>
      <c r="L250" s="100" t="s">
        <v>740</v>
      </c>
      <c r="M250" s="106">
        <v>45112.788773148146</v>
      </c>
      <c r="N250" s="100">
        <v>14</v>
      </c>
      <c r="O250" s="100">
        <v>14</v>
      </c>
      <c r="P250" s="100">
        <v>1</v>
      </c>
      <c r="Q250" s="100">
        <v>69</v>
      </c>
    </row>
    <row r="251" spans="1:17" x14ac:dyDescent="0.3">
      <c r="A251" s="100">
        <v>86</v>
      </c>
      <c r="B251" s="103" t="s">
        <v>596</v>
      </c>
      <c r="C251" s="103" t="s">
        <v>597</v>
      </c>
      <c r="D251" s="103">
        <v>213711</v>
      </c>
      <c r="E251" s="103" t="s">
        <v>344</v>
      </c>
      <c r="F251" s="18">
        <v>13</v>
      </c>
      <c r="G251" s="101">
        <v>202116</v>
      </c>
      <c r="H251" s="103" t="s">
        <v>344</v>
      </c>
      <c r="I251" s="100" t="s">
        <v>741</v>
      </c>
      <c r="J251" s="100">
        <v>1</v>
      </c>
      <c r="K251" s="104">
        <v>45112</v>
      </c>
      <c r="L251" s="100" t="s">
        <v>742</v>
      </c>
      <c r="M251" s="106">
        <v>45112.788807870369</v>
      </c>
      <c r="N251" s="100">
        <v>14</v>
      </c>
      <c r="O251" s="100">
        <v>14</v>
      </c>
      <c r="P251" s="100">
        <v>2</v>
      </c>
      <c r="Q251" s="100">
        <v>70</v>
      </c>
    </row>
    <row r="252" spans="1:17" x14ac:dyDescent="0.3">
      <c r="A252" s="100">
        <v>87</v>
      </c>
      <c r="B252" s="103" t="s">
        <v>596</v>
      </c>
      <c r="C252" s="103" t="s">
        <v>597</v>
      </c>
      <c r="D252" s="103">
        <v>213711</v>
      </c>
      <c r="E252" s="103" t="s">
        <v>344</v>
      </c>
      <c r="F252" s="18">
        <v>13</v>
      </c>
      <c r="G252" s="101">
        <v>202116</v>
      </c>
      <c r="H252" s="103" t="s">
        <v>344</v>
      </c>
      <c r="I252" s="100" t="s">
        <v>743</v>
      </c>
      <c r="J252" s="100">
        <v>1</v>
      </c>
      <c r="K252" s="104">
        <v>45112</v>
      </c>
      <c r="L252" s="100" t="s">
        <v>744</v>
      </c>
      <c r="M252" s="106">
        <v>45112.788981481484</v>
      </c>
      <c r="N252" s="100">
        <v>14</v>
      </c>
      <c r="O252" s="100">
        <v>14</v>
      </c>
      <c r="P252" s="100">
        <v>3</v>
      </c>
      <c r="Q252" s="100">
        <v>71</v>
      </c>
    </row>
    <row r="253" spans="1:17" x14ac:dyDescent="0.3">
      <c r="A253" s="100">
        <v>88</v>
      </c>
      <c r="B253" s="103" t="s">
        <v>596</v>
      </c>
      <c r="C253" s="103" t="s">
        <v>597</v>
      </c>
      <c r="D253" s="103">
        <v>213711</v>
      </c>
      <c r="E253" s="103" t="s">
        <v>344</v>
      </c>
      <c r="F253" s="18">
        <v>13</v>
      </c>
      <c r="G253" s="101">
        <v>202116</v>
      </c>
      <c r="H253" s="103" t="s">
        <v>344</v>
      </c>
      <c r="I253" s="100" t="s">
        <v>745</v>
      </c>
      <c r="J253" s="100">
        <v>3</v>
      </c>
      <c r="K253" s="104">
        <v>45112</v>
      </c>
      <c r="L253" s="100" t="s">
        <v>746</v>
      </c>
      <c r="M253" s="106">
        <v>45112.789525462962</v>
      </c>
      <c r="N253" s="100">
        <v>14</v>
      </c>
      <c r="O253" s="100">
        <v>14</v>
      </c>
      <c r="P253" s="100">
        <v>4</v>
      </c>
      <c r="Q253" s="100">
        <v>72</v>
      </c>
    </row>
    <row r="254" spans="1:17" x14ac:dyDescent="0.3">
      <c r="A254" s="100">
        <v>89</v>
      </c>
      <c r="B254" s="103" t="s">
        <v>596</v>
      </c>
      <c r="C254" s="103" t="s">
        <v>597</v>
      </c>
      <c r="D254" s="103">
        <v>213711</v>
      </c>
      <c r="E254" s="103" t="s">
        <v>344</v>
      </c>
      <c r="F254" s="18">
        <v>13</v>
      </c>
      <c r="G254" s="101">
        <v>202116</v>
      </c>
      <c r="H254" s="103" t="s">
        <v>344</v>
      </c>
      <c r="I254" s="100" t="s">
        <v>747</v>
      </c>
      <c r="J254" s="100">
        <v>1</v>
      </c>
      <c r="K254" s="104">
        <v>45112</v>
      </c>
      <c r="L254" s="100" t="s">
        <v>748</v>
      </c>
      <c r="M254" s="106">
        <v>45112.789571759262</v>
      </c>
      <c r="N254" s="100">
        <v>14</v>
      </c>
      <c r="O254" s="100">
        <v>14</v>
      </c>
      <c r="P254" s="100">
        <v>5</v>
      </c>
      <c r="Q254" s="100">
        <v>73</v>
      </c>
    </row>
    <row r="255" spans="1:17" x14ac:dyDescent="0.3">
      <c r="A255" s="100">
        <v>90</v>
      </c>
      <c r="B255" s="103" t="s">
        <v>596</v>
      </c>
      <c r="C255" s="103" t="s">
        <v>597</v>
      </c>
      <c r="D255" s="103">
        <v>213711</v>
      </c>
      <c r="E255" s="103" t="s">
        <v>344</v>
      </c>
      <c r="F255" s="18">
        <v>13</v>
      </c>
      <c r="G255" s="101">
        <v>202116</v>
      </c>
      <c r="H255" s="103" t="s">
        <v>344</v>
      </c>
      <c r="I255" s="100" t="s">
        <v>749</v>
      </c>
      <c r="J255" s="100">
        <v>2</v>
      </c>
      <c r="K255" s="104">
        <v>45112</v>
      </c>
      <c r="L255" s="100" t="s">
        <v>750</v>
      </c>
      <c r="M255" s="106">
        <v>45112.790335648147</v>
      </c>
      <c r="N255" s="100">
        <v>14</v>
      </c>
      <c r="O255" s="100">
        <v>14</v>
      </c>
      <c r="P255" s="100">
        <v>6</v>
      </c>
      <c r="Q255" s="100">
        <v>74</v>
      </c>
    </row>
    <row r="256" spans="1:17" x14ac:dyDescent="0.3">
      <c r="A256" s="100">
        <v>91</v>
      </c>
      <c r="B256" s="103" t="s">
        <v>596</v>
      </c>
      <c r="C256" s="103" t="s">
        <v>597</v>
      </c>
      <c r="D256" s="103">
        <v>213711</v>
      </c>
      <c r="E256" s="103" t="s">
        <v>344</v>
      </c>
      <c r="F256" s="18">
        <v>13</v>
      </c>
      <c r="G256" s="101">
        <v>202116</v>
      </c>
      <c r="H256" s="103" t="s">
        <v>344</v>
      </c>
      <c r="I256" s="100" t="s">
        <v>751</v>
      </c>
      <c r="J256" s="100">
        <v>0</v>
      </c>
      <c r="K256" s="104">
        <v>45112</v>
      </c>
      <c r="L256" s="100" t="s">
        <v>752</v>
      </c>
      <c r="M256" s="106">
        <v>45112.790972222225</v>
      </c>
      <c r="N256" s="100">
        <v>14</v>
      </c>
      <c r="O256" s="100">
        <v>14</v>
      </c>
      <c r="P256" s="100">
        <v>7</v>
      </c>
      <c r="Q256" s="100">
        <v>75</v>
      </c>
    </row>
    <row r="257" spans="1:17" x14ac:dyDescent="0.3">
      <c r="A257" s="100">
        <v>92</v>
      </c>
      <c r="B257" s="103" t="s">
        <v>596</v>
      </c>
      <c r="C257" s="103" t="s">
        <v>597</v>
      </c>
      <c r="D257" s="103">
        <v>213711</v>
      </c>
      <c r="E257" s="103" t="s">
        <v>344</v>
      </c>
      <c r="F257" s="18">
        <v>13</v>
      </c>
      <c r="G257" s="101">
        <v>202116</v>
      </c>
      <c r="H257" s="103" t="s">
        <v>344</v>
      </c>
      <c r="I257" s="100" t="s">
        <v>753</v>
      </c>
      <c r="J257" s="100">
        <v>1</v>
      </c>
      <c r="K257" s="104">
        <v>45112</v>
      </c>
      <c r="L257" s="100" t="s">
        <v>754</v>
      </c>
      <c r="M257" s="106">
        <v>45112.791122685187</v>
      </c>
      <c r="N257" s="100">
        <v>14</v>
      </c>
      <c r="O257" s="100">
        <v>14</v>
      </c>
      <c r="P257" s="100">
        <v>8</v>
      </c>
      <c r="Q257" s="100">
        <v>76</v>
      </c>
    </row>
    <row r="258" spans="1:17" x14ac:dyDescent="0.3">
      <c r="A258" s="100">
        <v>89</v>
      </c>
      <c r="B258" s="103" t="s">
        <v>184</v>
      </c>
      <c r="C258" s="103" t="s">
        <v>81</v>
      </c>
      <c r="D258" s="103">
        <v>213665</v>
      </c>
      <c r="E258" s="103" t="s">
        <v>344</v>
      </c>
      <c r="F258" s="18">
        <v>13</v>
      </c>
      <c r="G258" s="101">
        <v>202116</v>
      </c>
      <c r="H258" s="103" t="s">
        <v>344</v>
      </c>
      <c r="I258" s="100" t="s">
        <v>345</v>
      </c>
      <c r="J258" s="100">
        <v>0</v>
      </c>
      <c r="K258" s="104">
        <v>45114</v>
      </c>
      <c r="L258" s="100" t="s">
        <v>346</v>
      </c>
      <c r="M258" s="106">
        <v>45114.669537037036</v>
      </c>
      <c r="N258" s="100">
        <v>14</v>
      </c>
      <c r="O258" s="100">
        <v>14</v>
      </c>
      <c r="P258" s="100">
        <v>9</v>
      </c>
      <c r="Q258" s="100">
        <v>74</v>
      </c>
    </row>
    <row r="259" spans="1:17" x14ac:dyDescent="0.3">
      <c r="A259" s="100">
        <v>93</v>
      </c>
      <c r="B259" s="103" t="s">
        <v>596</v>
      </c>
      <c r="C259" s="103" t="s">
        <v>597</v>
      </c>
      <c r="D259" s="103">
        <v>213711</v>
      </c>
      <c r="E259" s="103" t="s">
        <v>755</v>
      </c>
      <c r="F259" s="18">
        <v>19</v>
      </c>
      <c r="G259" s="101">
        <v>202451</v>
      </c>
      <c r="H259" s="103" t="s">
        <v>755</v>
      </c>
      <c r="I259" s="100" t="s">
        <v>756</v>
      </c>
      <c r="J259" s="100">
        <v>2</v>
      </c>
      <c r="K259" s="104">
        <v>45112</v>
      </c>
      <c r="L259" s="100" t="s">
        <v>757</v>
      </c>
      <c r="M259" s="106">
        <v>45112.791516203702</v>
      </c>
      <c r="N259" s="100">
        <v>15</v>
      </c>
      <c r="O259" s="100">
        <v>15</v>
      </c>
      <c r="P259" s="100">
        <v>1</v>
      </c>
      <c r="Q259" s="100">
        <v>77</v>
      </c>
    </row>
    <row r="260" spans="1:17" x14ac:dyDescent="0.3">
      <c r="A260" s="100">
        <v>94</v>
      </c>
      <c r="B260" s="103" t="s">
        <v>596</v>
      </c>
      <c r="C260" s="103" t="s">
        <v>597</v>
      </c>
      <c r="D260" s="103">
        <v>213711</v>
      </c>
      <c r="E260" s="103" t="s">
        <v>755</v>
      </c>
      <c r="F260" s="18">
        <v>19</v>
      </c>
      <c r="G260" s="101">
        <v>202451</v>
      </c>
      <c r="H260" s="103" t="s">
        <v>755</v>
      </c>
      <c r="I260" s="100" t="s">
        <v>758</v>
      </c>
      <c r="J260" s="100">
        <v>1</v>
      </c>
      <c r="K260" s="104">
        <v>45112</v>
      </c>
      <c r="L260" s="100" t="s">
        <v>759</v>
      </c>
      <c r="M260" s="106">
        <v>45112.791574074072</v>
      </c>
      <c r="N260" s="100">
        <v>15</v>
      </c>
      <c r="O260" s="100">
        <v>15</v>
      </c>
      <c r="P260" s="100">
        <v>2</v>
      </c>
      <c r="Q260" s="100">
        <v>78</v>
      </c>
    </row>
    <row r="261" spans="1:17" x14ac:dyDescent="0.3">
      <c r="A261" s="100">
        <v>107</v>
      </c>
      <c r="B261" s="103" t="s">
        <v>596</v>
      </c>
      <c r="C261" s="103" t="s">
        <v>597</v>
      </c>
      <c r="D261" s="103">
        <v>213711</v>
      </c>
      <c r="E261" s="103" t="s">
        <v>755</v>
      </c>
      <c r="F261" s="18">
        <v>19</v>
      </c>
      <c r="G261" s="101">
        <v>202451</v>
      </c>
      <c r="H261" s="103" t="s">
        <v>755</v>
      </c>
      <c r="I261" s="100" t="s">
        <v>783</v>
      </c>
      <c r="J261" s="100">
        <v>0</v>
      </c>
      <c r="K261" s="104">
        <v>45113</v>
      </c>
      <c r="L261" s="100" t="s">
        <v>784</v>
      </c>
      <c r="M261" s="106">
        <v>45113.079247685186</v>
      </c>
      <c r="N261" s="100">
        <v>15</v>
      </c>
      <c r="O261" s="100">
        <v>15</v>
      </c>
      <c r="P261" s="100">
        <v>3</v>
      </c>
      <c r="Q261" s="100">
        <v>91</v>
      </c>
    </row>
    <row r="262" spans="1:17" x14ac:dyDescent="0.3">
      <c r="A262" s="100">
        <v>108</v>
      </c>
      <c r="B262" s="103" t="s">
        <v>596</v>
      </c>
      <c r="C262" s="103" t="s">
        <v>597</v>
      </c>
      <c r="D262" s="103">
        <v>213711</v>
      </c>
      <c r="E262" s="103" t="s">
        <v>755</v>
      </c>
      <c r="F262" s="18">
        <v>19</v>
      </c>
      <c r="G262" s="101">
        <v>202451</v>
      </c>
      <c r="H262" s="103" t="s">
        <v>755</v>
      </c>
      <c r="I262" s="100" t="s">
        <v>785</v>
      </c>
      <c r="J262" s="100">
        <v>2</v>
      </c>
      <c r="K262" s="104">
        <v>45113</v>
      </c>
      <c r="L262" s="100" t="s">
        <v>786</v>
      </c>
      <c r="M262" s="106">
        <v>45113.079293981478</v>
      </c>
      <c r="N262" s="100">
        <v>15</v>
      </c>
      <c r="O262" s="100">
        <v>15</v>
      </c>
      <c r="P262" s="100">
        <v>4</v>
      </c>
      <c r="Q262" s="100">
        <v>92</v>
      </c>
    </row>
    <row r="263" spans="1:17" x14ac:dyDescent="0.3">
      <c r="A263" s="100">
        <v>109</v>
      </c>
      <c r="B263" s="103" t="s">
        <v>596</v>
      </c>
      <c r="C263" s="103" t="s">
        <v>597</v>
      </c>
      <c r="D263" s="103">
        <v>213711</v>
      </c>
      <c r="E263" s="103" t="s">
        <v>755</v>
      </c>
      <c r="F263" s="18">
        <v>19</v>
      </c>
      <c r="G263" s="101">
        <v>202451</v>
      </c>
      <c r="H263" s="103" t="s">
        <v>755</v>
      </c>
      <c r="I263" s="100" t="s">
        <v>787</v>
      </c>
      <c r="J263" s="100">
        <v>1</v>
      </c>
      <c r="K263" s="104">
        <v>45113</v>
      </c>
      <c r="L263" s="100" t="s">
        <v>788</v>
      </c>
      <c r="M263" s="106">
        <v>45113.079861111109</v>
      </c>
      <c r="N263" s="100">
        <v>15</v>
      </c>
      <c r="O263" s="100">
        <v>15</v>
      </c>
      <c r="P263" s="100">
        <v>5</v>
      </c>
      <c r="Q263" s="100">
        <v>93</v>
      </c>
    </row>
    <row r="264" spans="1:17" x14ac:dyDescent="0.3">
      <c r="A264" s="100">
        <v>110</v>
      </c>
      <c r="B264" s="103" t="s">
        <v>596</v>
      </c>
      <c r="C264" s="103" t="s">
        <v>597</v>
      </c>
      <c r="D264" s="103">
        <v>213711</v>
      </c>
      <c r="E264" s="103" t="s">
        <v>755</v>
      </c>
      <c r="F264" s="18">
        <v>19</v>
      </c>
      <c r="G264" s="101">
        <v>202451</v>
      </c>
      <c r="H264" s="103" t="s">
        <v>755</v>
      </c>
      <c r="I264" s="100" t="s">
        <v>789</v>
      </c>
      <c r="J264" s="100">
        <v>0</v>
      </c>
      <c r="K264" s="104">
        <v>45113</v>
      </c>
      <c r="L264" s="100" t="s">
        <v>790</v>
      </c>
      <c r="M264" s="106">
        <v>45113.084583333337</v>
      </c>
      <c r="N264" s="100">
        <v>15</v>
      </c>
      <c r="O264" s="100">
        <v>15</v>
      </c>
      <c r="P264" s="100">
        <v>6</v>
      </c>
      <c r="Q264" s="100">
        <v>94</v>
      </c>
    </row>
    <row r="265" spans="1:17" x14ac:dyDescent="0.3">
      <c r="A265" s="100">
        <v>111</v>
      </c>
      <c r="B265" s="103" t="s">
        <v>596</v>
      </c>
      <c r="C265" s="103" t="s">
        <v>597</v>
      </c>
      <c r="D265" s="103">
        <v>213711</v>
      </c>
      <c r="E265" s="103" t="s">
        <v>755</v>
      </c>
      <c r="F265" s="18">
        <v>19</v>
      </c>
      <c r="G265" s="101">
        <v>202451</v>
      </c>
      <c r="H265" s="103" t="s">
        <v>755</v>
      </c>
      <c r="I265" s="100" t="s">
        <v>791</v>
      </c>
      <c r="J265" s="100">
        <v>2</v>
      </c>
      <c r="K265" s="104">
        <v>45113</v>
      </c>
      <c r="L265" s="100" t="s">
        <v>792</v>
      </c>
      <c r="M265" s="106">
        <v>45113.084618055553</v>
      </c>
      <c r="N265" s="100">
        <v>15</v>
      </c>
      <c r="O265" s="100">
        <v>15</v>
      </c>
      <c r="P265" s="100">
        <v>7</v>
      </c>
      <c r="Q265" s="100">
        <v>95</v>
      </c>
    </row>
    <row r="266" spans="1:17" x14ac:dyDescent="0.3">
      <c r="A266" s="100">
        <v>145</v>
      </c>
      <c r="B266" s="103" t="s">
        <v>596</v>
      </c>
      <c r="C266" s="103" t="s">
        <v>597</v>
      </c>
      <c r="D266" s="103">
        <v>213711</v>
      </c>
      <c r="E266" s="103" t="s">
        <v>755</v>
      </c>
      <c r="F266" s="18">
        <v>19</v>
      </c>
      <c r="G266" s="101">
        <v>202451</v>
      </c>
      <c r="H266" s="103" t="s">
        <v>755</v>
      </c>
      <c r="I266" s="100" t="s">
        <v>860</v>
      </c>
      <c r="J266" s="100">
        <v>2</v>
      </c>
      <c r="K266" s="104">
        <v>45113</v>
      </c>
      <c r="L266" s="100" t="s">
        <v>861</v>
      </c>
      <c r="M266" s="106">
        <v>45113.204386574071</v>
      </c>
      <c r="N266" s="100">
        <v>15</v>
      </c>
      <c r="O266" s="100">
        <v>15</v>
      </c>
      <c r="P266" s="100">
        <v>8</v>
      </c>
      <c r="Q266" s="100">
        <v>129</v>
      </c>
    </row>
    <row r="267" spans="1:17" x14ac:dyDescent="0.3">
      <c r="A267" s="100">
        <v>146</v>
      </c>
      <c r="B267" s="103" t="s">
        <v>596</v>
      </c>
      <c r="C267" s="103" t="s">
        <v>597</v>
      </c>
      <c r="D267" s="103">
        <v>213711</v>
      </c>
      <c r="E267" s="103" t="s">
        <v>755</v>
      </c>
      <c r="F267" s="18">
        <v>19</v>
      </c>
      <c r="G267" s="101">
        <v>202451</v>
      </c>
      <c r="H267" s="103" t="s">
        <v>755</v>
      </c>
      <c r="I267" s="100" t="s">
        <v>862</v>
      </c>
      <c r="J267" s="100">
        <v>1</v>
      </c>
      <c r="K267" s="104">
        <v>45113</v>
      </c>
      <c r="L267" s="100" t="s">
        <v>863</v>
      </c>
      <c r="M267" s="106">
        <v>45113.205613425926</v>
      </c>
      <c r="N267" s="100">
        <v>15</v>
      </c>
      <c r="O267" s="100">
        <v>15</v>
      </c>
      <c r="P267" s="100">
        <v>9</v>
      </c>
      <c r="Q267" s="100">
        <v>130</v>
      </c>
    </row>
    <row r="268" spans="1:17" x14ac:dyDescent="0.3">
      <c r="A268" s="100">
        <v>134</v>
      </c>
      <c r="B268" s="103" t="s">
        <v>596</v>
      </c>
      <c r="C268" s="103" t="s">
        <v>597</v>
      </c>
      <c r="D268" s="103">
        <v>213711</v>
      </c>
      <c r="E268" s="103" t="s">
        <v>837</v>
      </c>
      <c r="F268" s="18">
        <v>21</v>
      </c>
      <c r="G268" s="101">
        <v>213097</v>
      </c>
      <c r="H268" s="103" t="s">
        <v>837</v>
      </c>
      <c r="I268" s="100" t="s">
        <v>838</v>
      </c>
      <c r="J268" s="100">
        <v>0</v>
      </c>
      <c r="K268" s="104">
        <v>45113</v>
      </c>
      <c r="L268" s="100" t="s">
        <v>839</v>
      </c>
      <c r="M268" s="106">
        <v>45113.201701388891</v>
      </c>
      <c r="N268" s="100">
        <v>16</v>
      </c>
      <c r="O268" s="100">
        <v>16</v>
      </c>
      <c r="P268" s="100">
        <v>1</v>
      </c>
      <c r="Q268" s="100">
        <v>118</v>
      </c>
    </row>
    <row r="269" spans="1:17" x14ac:dyDescent="0.3">
      <c r="A269" s="100">
        <v>135</v>
      </c>
      <c r="B269" s="103" t="s">
        <v>596</v>
      </c>
      <c r="C269" s="103" t="s">
        <v>597</v>
      </c>
      <c r="D269" s="103">
        <v>213711</v>
      </c>
      <c r="E269" s="103" t="s">
        <v>837</v>
      </c>
      <c r="F269" s="18">
        <v>21</v>
      </c>
      <c r="G269" s="101">
        <v>213097</v>
      </c>
      <c r="H269" s="103" t="s">
        <v>837</v>
      </c>
      <c r="I269" s="100" t="s">
        <v>840</v>
      </c>
      <c r="J269" s="100">
        <v>1</v>
      </c>
      <c r="K269" s="104">
        <v>45113</v>
      </c>
      <c r="L269" s="100" t="s">
        <v>841</v>
      </c>
      <c r="M269" s="106">
        <v>45113.20171296296</v>
      </c>
      <c r="N269" s="100">
        <v>16</v>
      </c>
      <c r="O269" s="100">
        <v>16</v>
      </c>
      <c r="P269" s="100">
        <v>2</v>
      </c>
      <c r="Q269" s="100">
        <v>119</v>
      </c>
    </row>
    <row r="270" spans="1:17" x14ac:dyDescent="0.3">
      <c r="A270" s="100">
        <v>136</v>
      </c>
      <c r="B270" s="103" t="s">
        <v>596</v>
      </c>
      <c r="C270" s="103" t="s">
        <v>597</v>
      </c>
      <c r="D270" s="103">
        <v>213711</v>
      </c>
      <c r="E270" s="103" t="s">
        <v>837</v>
      </c>
      <c r="F270" s="18">
        <v>21</v>
      </c>
      <c r="G270" s="101">
        <v>213097</v>
      </c>
      <c r="H270" s="103" t="s">
        <v>837</v>
      </c>
      <c r="I270" s="100" t="s">
        <v>842</v>
      </c>
      <c r="J270" s="100">
        <v>1</v>
      </c>
      <c r="K270" s="104">
        <v>45113</v>
      </c>
      <c r="L270" s="100" t="s">
        <v>843</v>
      </c>
      <c r="M270" s="106">
        <v>45113.201898148145</v>
      </c>
      <c r="N270" s="100">
        <v>16</v>
      </c>
      <c r="O270" s="100">
        <v>16</v>
      </c>
      <c r="P270" s="100">
        <v>3</v>
      </c>
      <c r="Q270" s="100">
        <v>120</v>
      </c>
    </row>
    <row r="271" spans="1:17" x14ac:dyDescent="0.3">
      <c r="A271" s="100">
        <v>137</v>
      </c>
      <c r="B271" s="103" t="s">
        <v>596</v>
      </c>
      <c r="C271" s="103" t="s">
        <v>597</v>
      </c>
      <c r="D271" s="103">
        <v>213711</v>
      </c>
      <c r="E271" s="103" t="s">
        <v>837</v>
      </c>
      <c r="F271" s="18">
        <v>21</v>
      </c>
      <c r="G271" s="101">
        <v>213097</v>
      </c>
      <c r="H271" s="103" t="s">
        <v>837</v>
      </c>
      <c r="I271" s="100" t="s">
        <v>844</v>
      </c>
      <c r="J271" s="100">
        <v>1</v>
      </c>
      <c r="K271" s="104">
        <v>45113</v>
      </c>
      <c r="L271" s="100" t="s">
        <v>845</v>
      </c>
      <c r="M271" s="106">
        <v>45113.202210648145</v>
      </c>
      <c r="N271" s="100">
        <v>16</v>
      </c>
      <c r="O271" s="100">
        <v>16</v>
      </c>
      <c r="P271" s="100">
        <v>4</v>
      </c>
      <c r="Q271" s="100">
        <v>121</v>
      </c>
    </row>
    <row r="272" spans="1:17" x14ac:dyDescent="0.3">
      <c r="A272" s="100">
        <v>138</v>
      </c>
      <c r="B272" s="103" t="s">
        <v>596</v>
      </c>
      <c r="C272" s="103" t="s">
        <v>597</v>
      </c>
      <c r="D272" s="103">
        <v>213711</v>
      </c>
      <c r="E272" s="103" t="s">
        <v>837</v>
      </c>
      <c r="F272" s="18">
        <v>21</v>
      </c>
      <c r="G272" s="101">
        <v>213097</v>
      </c>
      <c r="H272" s="103" t="s">
        <v>837</v>
      </c>
      <c r="I272" s="100" t="s">
        <v>846</v>
      </c>
      <c r="J272" s="100">
        <v>2</v>
      </c>
      <c r="K272" s="104">
        <v>45113</v>
      </c>
      <c r="L272" s="100" t="s">
        <v>847</v>
      </c>
      <c r="M272" s="106">
        <v>45113.202222222222</v>
      </c>
      <c r="N272" s="100">
        <v>16</v>
      </c>
      <c r="O272" s="100">
        <v>16</v>
      </c>
      <c r="P272" s="100">
        <v>5</v>
      </c>
      <c r="Q272" s="100">
        <v>122</v>
      </c>
    </row>
    <row r="273" spans="1:17" x14ac:dyDescent="0.3">
      <c r="A273" s="100">
        <v>139</v>
      </c>
      <c r="B273" s="103" t="s">
        <v>596</v>
      </c>
      <c r="C273" s="103" t="s">
        <v>597</v>
      </c>
      <c r="D273" s="103">
        <v>213711</v>
      </c>
      <c r="E273" s="103" t="s">
        <v>837</v>
      </c>
      <c r="F273" s="18">
        <v>21</v>
      </c>
      <c r="G273" s="101">
        <v>213097</v>
      </c>
      <c r="H273" s="103" t="s">
        <v>837</v>
      </c>
      <c r="I273" s="100" t="s">
        <v>848</v>
      </c>
      <c r="J273" s="100">
        <v>1</v>
      </c>
      <c r="K273" s="104">
        <v>45113</v>
      </c>
      <c r="L273" s="100" t="s">
        <v>849</v>
      </c>
      <c r="M273" s="106">
        <v>45113.202476851853</v>
      </c>
      <c r="N273" s="100">
        <v>16</v>
      </c>
      <c r="O273" s="100">
        <v>16</v>
      </c>
      <c r="P273" s="100">
        <v>6</v>
      </c>
      <c r="Q273" s="100">
        <v>123</v>
      </c>
    </row>
    <row r="274" spans="1:17" x14ac:dyDescent="0.3">
      <c r="A274" s="100">
        <v>140</v>
      </c>
      <c r="B274" s="103" t="s">
        <v>596</v>
      </c>
      <c r="C274" s="103" t="s">
        <v>597</v>
      </c>
      <c r="D274" s="103">
        <v>213711</v>
      </c>
      <c r="E274" s="103" t="s">
        <v>837</v>
      </c>
      <c r="F274" s="18">
        <v>21</v>
      </c>
      <c r="G274" s="101">
        <v>213097</v>
      </c>
      <c r="H274" s="103" t="s">
        <v>837</v>
      </c>
      <c r="I274" s="100" t="s">
        <v>850</v>
      </c>
      <c r="J274" s="100">
        <v>0</v>
      </c>
      <c r="K274" s="104">
        <v>45113</v>
      </c>
      <c r="L274" s="100" t="s">
        <v>851</v>
      </c>
      <c r="M274" s="106">
        <v>45113.202719907407</v>
      </c>
      <c r="N274" s="100">
        <v>16</v>
      </c>
      <c r="O274" s="100">
        <v>16</v>
      </c>
      <c r="P274" s="100">
        <v>7</v>
      </c>
      <c r="Q274" s="100">
        <v>124</v>
      </c>
    </row>
    <row r="275" spans="1:17" x14ac:dyDescent="0.3">
      <c r="A275" s="100">
        <v>141</v>
      </c>
      <c r="B275" s="103" t="s">
        <v>596</v>
      </c>
      <c r="C275" s="103" t="s">
        <v>597</v>
      </c>
      <c r="D275" s="103">
        <v>213711</v>
      </c>
      <c r="E275" s="103" t="s">
        <v>837</v>
      </c>
      <c r="F275" s="18">
        <v>21</v>
      </c>
      <c r="G275" s="101">
        <v>213097</v>
      </c>
      <c r="H275" s="103" t="s">
        <v>837</v>
      </c>
      <c r="I275" s="100" t="s">
        <v>852</v>
      </c>
      <c r="J275" s="100">
        <v>0</v>
      </c>
      <c r="K275" s="104">
        <v>45113</v>
      </c>
      <c r="L275" s="100" t="s">
        <v>853</v>
      </c>
      <c r="M275" s="106">
        <v>45113.202743055554</v>
      </c>
      <c r="N275" s="100">
        <v>16</v>
      </c>
      <c r="O275" s="100">
        <v>16</v>
      </c>
      <c r="P275" s="100">
        <v>8</v>
      </c>
      <c r="Q275" s="100">
        <v>125</v>
      </c>
    </row>
    <row r="276" spans="1:17" x14ac:dyDescent="0.3">
      <c r="A276" s="100">
        <v>142</v>
      </c>
      <c r="B276" s="103" t="s">
        <v>596</v>
      </c>
      <c r="C276" s="103" t="s">
        <v>597</v>
      </c>
      <c r="D276" s="103">
        <v>213711</v>
      </c>
      <c r="E276" s="103" t="s">
        <v>837</v>
      </c>
      <c r="F276" s="18">
        <v>21</v>
      </c>
      <c r="G276" s="101">
        <v>213097</v>
      </c>
      <c r="H276" s="103" t="s">
        <v>837</v>
      </c>
      <c r="I276" s="100" t="s">
        <v>854</v>
      </c>
      <c r="J276" s="100">
        <v>1</v>
      </c>
      <c r="K276" s="104">
        <v>45113</v>
      </c>
      <c r="L276" s="100" t="s">
        <v>855</v>
      </c>
      <c r="M276" s="106">
        <v>45113.203287037039</v>
      </c>
      <c r="N276" s="100">
        <v>16</v>
      </c>
      <c r="O276" s="100">
        <v>16</v>
      </c>
      <c r="P276" s="100">
        <v>9</v>
      </c>
      <c r="Q276" s="100">
        <v>126</v>
      </c>
    </row>
    <row r="277" spans="1:17" x14ac:dyDescent="0.3">
      <c r="A277" s="100">
        <v>143</v>
      </c>
      <c r="B277" s="103" t="s">
        <v>596</v>
      </c>
      <c r="C277" s="103" t="s">
        <v>597</v>
      </c>
      <c r="D277" s="103">
        <v>213711</v>
      </c>
      <c r="E277" s="103" t="s">
        <v>837</v>
      </c>
      <c r="F277" s="18">
        <v>21</v>
      </c>
      <c r="G277" s="101">
        <v>213097</v>
      </c>
      <c r="H277" s="103" t="s">
        <v>837</v>
      </c>
      <c r="I277" s="100" t="s">
        <v>856</v>
      </c>
      <c r="J277" s="100">
        <v>1</v>
      </c>
      <c r="K277" s="104">
        <v>45113</v>
      </c>
      <c r="L277" s="100" t="s">
        <v>857</v>
      </c>
      <c r="M277" s="106">
        <v>45113.203668981485</v>
      </c>
      <c r="N277" s="100">
        <v>16</v>
      </c>
      <c r="O277" s="100">
        <v>16</v>
      </c>
      <c r="P277" s="100">
        <v>10</v>
      </c>
      <c r="Q277" s="100">
        <v>127</v>
      </c>
    </row>
    <row r="278" spans="1:17" x14ac:dyDescent="0.3">
      <c r="A278" s="100">
        <v>144</v>
      </c>
      <c r="B278" s="103" t="s">
        <v>596</v>
      </c>
      <c r="C278" s="103" t="s">
        <v>597</v>
      </c>
      <c r="D278" s="103">
        <v>213711</v>
      </c>
      <c r="E278" s="103" t="s">
        <v>837</v>
      </c>
      <c r="F278" s="18">
        <v>21</v>
      </c>
      <c r="G278" s="101">
        <v>213097</v>
      </c>
      <c r="H278" s="103" t="s">
        <v>837</v>
      </c>
      <c r="I278" s="100" t="s">
        <v>858</v>
      </c>
      <c r="J278" s="100">
        <v>2</v>
      </c>
      <c r="K278" s="104">
        <v>45113</v>
      </c>
      <c r="L278" s="100" t="s">
        <v>859</v>
      </c>
      <c r="M278" s="106">
        <v>45113.204108796293</v>
      </c>
      <c r="N278" s="100">
        <v>16</v>
      </c>
      <c r="O278" s="100">
        <v>16</v>
      </c>
      <c r="P278" s="100">
        <v>11</v>
      </c>
      <c r="Q278" s="100">
        <v>128</v>
      </c>
    </row>
    <row r="279" spans="1:17" x14ac:dyDescent="0.3">
      <c r="A279" s="100">
        <v>147</v>
      </c>
      <c r="B279" s="103" t="s">
        <v>596</v>
      </c>
      <c r="C279" s="103" t="s">
        <v>597</v>
      </c>
      <c r="D279" s="103">
        <v>213711</v>
      </c>
      <c r="E279" s="103" t="s">
        <v>837</v>
      </c>
      <c r="F279" s="18">
        <v>21</v>
      </c>
      <c r="G279" s="101">
        <v>213097</v>
      </c>
      <c r="H279" s="103" t="s">
        <v>837</v>
      </c>
      <c r="I279" s="100" t="s">
        <v>864</v>
      </c>
      <c r="J279" s="100">
        <v>1</v>
      </c>
      <c r="K279" s="104">
        <v>45113</v>
      </c>
      <c r="L279" s="100" t="s">
        <v>865</v>
      </c>
      <c r="M279" s="106">
        <v>45113.209189814814</v>
      </c>
      <c r="N279" s="100">
        <v>16</v>
      </c>
      <c r="O279" s="100">
        <v>16</v>
      </c>
      <c r="P279" s="100">
        <v>12</v>
      </c>
      <c r="Q279" s="100">
        <v>131</v>
      </c>
    </row>
    <row r="280" spans="1:17" x14ac:dyDescent="0.3">
      <c r="A280" s="100">
        <v>148</v>
      </c>
      <c r="B280" s="103" t="s">
        <v>596</v>
      </c>
      <c r="C280" s="103" t="s">
        <v>597</v>
      </c>
      <c r="D280" s="103">
        <v>213711</v>
      </c>
      <c r="E280" s="103" t="s">
        <v>837</v>
      </c>
      <c r="F280" s="18">
        <v>21</v>
      </c>
      <c r="G280" s="101">
        <v>213097</v>
      </c>
      <c r="H280" s="103" t="s">
        <v>837</v>
      </c>
      <c r="I280" s="100" t="s">
        <v>866</v>
      </c>
      <c r="J280" s="100">
        <v>2</v>
      </c>
      <c r="K280" s="104">
        <v>45113</v>
      </c>
      <c r="L280" s="100" t="s">
        <v>867</v>
      </c>
      <c r="M280" s="106">
        <v>45113.209201388891</v>
      </c>
      <c r="N280" s="100">
        <v>16</v>
      </c>
      <c r="O280" s="100">
        <v>16</v>
      </c>
      <c r="P280" s="100">
        <v>13</v>
      </c>
      <c r="Q280" s="100">
        <v>132</v>
      </c>
    </row>
    <row r="281" spans="1:17" x14ac:dyDescent="0.3">
      <c r="A281" s="100">
        <v>15</v>
      </c>
      <c r="B281" s="103" t="s">
        <v>184</v>
      </c>
      <c r="C281" s="103" t="s">
        <v>81</v>
      </c>
      <c r="D281" s="103">
        <v>213665</v>
      </c>
      <c r="E281" s="103" t="s">
        <v>185</v>
      </c>
      <c r="F281" s="18">
        <v>4</v>
      </c>
      <c r="G281" s="101">
        <v>192010</v>
      </c>
      <c r="H281" s="103" t="s">
        <v>185</v>
      </c>
      <c r="I281" s="100" t="s">
        <v>186</v>
      </c>
      <c r="J281" s="100">
        <v>0</v>
      </c>
      <c r="K281" s="104">
        <v>45113</v>
      </c>
      <c r="L281" s="100" t="s">
        <v>187</v>
      </c>
      <c r="M281" s="106">
        <v>45113.431307870371</v>
      </c>
      <c r="N281" s="100">
        <v>17</v>
      </c>
      <c r="O281" s="100">
        <v>17</v>
      </c>
      <c r="P281" s="100">
        <v>1</v>
      </c>
      <c r="Q281" s="100">
        <v>1</v>
      </c>
    </row>
    <row r="282" spans="1:17" x14ac:dyDescent="0.3">
      <c r="A282" s="100">
        <v>16</v>
      </c>
      <c r="B282" s="103" t="s">
        <v>184</v>
      </c>
      <c r="C282" s="103" t="s">
        <v>81</v>
      </c>
      <c r="D282" s="103">
        <v>213665</v>
      </c>
      <c r="E282" s="103" t="s">
        <v>185</v>
      </c>
      <c r="F282" s="18">
        <v>4</v>
      </c>
      <c r="G282" s="101">
        <v>192010</v>
      </c>
      <c r="H282" s="103" t="s">
        <v>185</v>
      </c>
      <c r="I282" s="100" t="s">
        <v>188</v>
      </c>
      <c r="J282" s="100">
        <v>1</v>
      </c>
      <c r="K282" s="104">
        <v>45113</v>
      </c>
      <c r="L282" s="100" t="s">
        <v>189</v>
      </c>
      <c r="M282" s="106">
        <v>45113.431331018517</v>
      </c>
      <c r="N282" s="100">
        <v>17</v>
      </c>
      <c r="O282" s="100">
        <v>17</v>
      </c>
      <c r="P282" s="100">
        <v>2</v>
      </c>
      <c r="Q282" s="100">
        <v>2</v>
      </c>
    </row>
    <row r="283" spans="1:17" x14ac:dyDescent="0.3">
      <c r="A283" s="100">
        <v>17</v>
      </c>
      <c r="B283" s="103" t="s">
        <v>184</v>
      </c>
      <c r="C283" s="103" t="s">
        <v>81</v>
      </c>
      <c r="D283" s="103">
        <v>213665</v>
      </c>
      <c r="E283" s="103" t="s">
        <v>185</v>
      </c>
      <c r="F283" s="18">
        <v>4</v>
      </c>
      <c r="G283" s="101">
        <v>192010</v>
      </c>
      <c r="H283" s="103" t="s">
        <v>185</v>
      </c>
      <c r="I283" s="100" t="s">
        <v>190</v>
      </c>
      <c r="J283" s="100">
        <v>1</v>
      </c>
      <c r="K283" s="104">
        <v>45113</v>
      </c>
      <c r="L283" s="100" t="s">
        <v>191</v>
      </c>
      <c r="M283" s="106">
        <v>45113.431469907409</v>
      </c>
      <c r="N283" s="100">
        <v>17</v>
      </c>
      <c r="O283" s="100">
        <v>17</v>
      </c>
      <c r="P283" s="100">
        <v>3</v>
      </c>
      <c r="Q283" s="100">
        <v>3</v>
      </c>
    </row>
    <row r="284" spans="1:17" x14ac:dyDescent="0.3">
      <c r="A284" s="100">
        <v>18</v>
      </c>
      <c r="B284" s="103" t="s">
        <v>184</v>
      </c>
      <c r="C284" s="103" t="s">
        <v>81</v>
      </c>
      <c r="D284" s="103">
        <v>213665</v>
      </c>
      <c r="E284" s="103" t="s">
        <v>185</v>
      </c>
      <c r="F284" s="18">
        <v>4</v>
      </c>
      <c r="G284" s="101">
        <v>192010</v>
      </c>
      <c r="H284" s="103" t="s">
        <v>185</v>
      </c>
      <c r="I284" s="100" t="s">
        <v>192</v>
      </c>
      <c r="J284" s="100">
        <v>1</v>
      </c>
      <c r="K284" s="104">
        <v>45113</v>
      </c>
      <c r="L284" s="100" t="s">
        <v>193</v>
      </c>
      <c r="M284" s="106">
        <v>45113.431493055556</v>
      </c>
      <c r="N284" s="100">
        <v>17</v>
      </c>
      <c r="O284" s="100">
        <v>17</v>
      </c>
      <c r="P284" s="100">
        <v>4</v>
      </c>
      <c r="Q284" s="100">
        <v>4</v>
      </c>
    </row>
    <row r="285" spans="1:17" x14ac:dyDescent="0.3">
      <c r="A285" s="100">
        <v>113</v>
      </c>
      <c r="B285" s="103" t="s">
        <v>356</v>
      </c>
      <c r="C285" s="103" t="s">
        <v>357</v>
      </c>
      <c r="D285" s="103">
        <v>213777</v>
      </c>
      <c r="E285" s="103" t="s">
        <v>185</v>
      </c>
      <c r="F285" s="18">
        <v>4</v>
      </c>
      <c r="G285" s="101">
        <v>192010</v>
      </c>
      <c r="H285" s="103" t="s">
        <v>185</v>
      </c>
      <c r="I285" s="100" t="s">
        <v>545</v>
      </c>
      <c r="J285" s="100">
        <v>2</v>
      </c>
      <c r="K285" s="104">
        <v>45114</v>
      </c>
      <c r="L285" s="100" t="s">
        <v>546</v>
      </c>
      <c r="M285" s="106">
        <v>45114.606770833336</v>
      </c>
      <c r="N285" s="100">
        <v>17</v>
      </c>
      <c r="O285" s="100">
        <v>17</v>
      </c>
      <c r="P285" s="100">
        <v>5</v>
      </c>
      <c r="Q285" s="100">
        <v>93</v>
      </c>
    </row>
    <row r="286" spans="1:17" x14ac:dyDescent="0.3">
      <c r="A286" s="100">
        <v>19</v>
      </c>
      <c r="B286" s="103" t="s">
        <v>184</v>
      </c>
      <c r="C286" s="103" t="s">
        <v>81</v>
      </c>
      <c r="D286" s="103">
        <v>213665</v>
      </c>
      <c r="E286" s="103" t="s">
        <v>194</v>
      </c>
      <c r="F286" s="18">
        <v>2</v>
      </c>
      <c r="G286" s="101">
        <v>182103</v>
      </c>
      <c r="H286" s="103" t="s">
        <v>194</v>
      </c>
      <c r="I286" s="100" t="s">
        <v>195</v>
      </c>
      <c r="J286" s="100">
        <v>0</v>
      </c>
      <c r="K286" s="104">
        <v>45113</v>
      </c>
      <c r="L286" s="100" t="s">
        <v>196</v>
      </c>
      <c r="M286" s="106">
        <v>45113.43246527778</v>
      </c>
      <c r="N286" s="100">
        <v>18</v>
      </c>
      <c r="O286" s="100">
        <v>18</v>
      </c>
      <c r="P286" s="100">
        <v>1</v>
      </c>
      <c r="Q286" s="100">
        <v>5</v>
      </c>
    </row>
    <row r="287" spans="1:17" x14ac:dyDescent="0.3">
      <c r="A287" s="100">
        <v>20</v>
      </c>
      <c r="B287" s="103" t="s">
        <v>184</v>
      </c>
      <c r="C287" s="103" t="s">
        <v>81</v>
      </c>
      <c r="D287" s="103">
        <v>213665</v>
      </c>
      <c r="E287" s="103" t="s">
        <v>194</v>
      </c>
      <c r="F287" s="18">
        <v>2</v>
      </c>
      <c r="G287" s="101">
        <v>182103</v>
      </c>
      <c r="H287" s="103" t="s">
        <v>194</v>
      </c>
      <c r="I287" s="100" t="s">
        <v>197</v>
      </c>
      <c r="J287" s="100">
        <v>1</v>
      </c>
      <c r="K287" s="104">
        <v>45113</v>
      </c>
      <c r="L287" s="100" t="s">
        <v>198</v>
      </c>
      <c r="M287" s="106">
        <v>45113.432476851849</v>
      </c>
      <c r="N287" s="100">
        <v>18</v>
      </c>
      <c r="O287" s="100">
        <v>18</v>
      </c>
      <c r="P287" s="100">
        <v>2</v>
      </c>
      <c r="Q287" s="100">
        <v>6</v>
      </c>
    </row>
    <row r="288" spans="1:17" x14ac:dyDescent="0.3">
      <c r="A288" s="100">
        <v>21</v>
      </c>
      <c r="B288" s="103" t="s">
        <v>184</v>
      </c>
      <c r="C288" s="103" t="s">
        <v>81</v>
      </c>
      <c r="D288" s="103">
        <v>213665</v>
      </c>
      <c r="E288" s="103" t="s">
        <v>194</v>
      </c>
      <c r="F288" s="18">
        <v>2</v>
      </c>
      <c r="G288" s="101">
        <v>182103</v>
      </c>
      <c r="H288" s="103" t="s">
        <v>194</v>
      </c>
      <c r="I288" s="100" t="s">
        <v>199</v>
      </c>
      <c r="J288" s="100">
        <v>1</v>
      </c>
      <c r="K288" s="104">
        <v>45113</v>
      </c>
      <c r="L288" s="100" t="s">
        <v>200</v>
      </c>
      <c r="M288" s="106">
        <v>45113.432511574072</v>
      </c>
      <c r="N288" s="100">
        <v>18</v>
      </c>
      <c r="O288" s="100">
        <v>18</v>
      </c>
      <c r="P288" s="100">
        <v>3</v>
      </c>
      <c r="Q288" s="100">
        <v>7</v>
      </c>
    </row>
    <row r="289" spans="1:17" x14ac:dyDescent="0.3">
      <c r="A289" s="100">
        <v>22</v>
      </c>
      <c r="B289" s="103" t="s">
        <v>184</v>
      </c>
      <c r="C289" s="103" t="s">
        <v>81</v>
      </c>
      <c r="D289" s="103">
        <v>213665</v>
      </c>
      <c r="E289" s="103" t="s">
        <v>194</v>
      </c>
      <c r="F289" s="18">
        <v>2</v>
      </c>
      <c r="G289" s="101">
        <v>182103</v>
      </c>
      <c r="H289" s="103" t="s">
        <v>194</v>
      </c>
      <c r="I289" s="100" t="s">
        <v>201</v>
      </c>
      <c r="J289" s="100">
        <v>2</v>
      </c>
      <c r="K289" s="104">
        <v>45113</v>
      </c>
      <c r="L289" s="100" t="s">
        <v>202</v>
      </c>
      <c r="M289" s="106">
        <v>45113.432534722226</v>
      </c>
      <c r="N289" s="100">
        <v>18</v>
      </c>
      <c r="O289" s="100">
        <v>18</v>
      </c>
      <c r="P289" s="100">
        <v>4</v>
      </c>
      <c r="Q289" s="100">
        <v>8</v>
      </c>
    </row>
    <row r="290" spans="1:17" x14ac:dyDescent="0.3">
      <c r="A290" s="100">
        <v>23</v>
      </c>
      <c r="B290" s="103" t="s">
        <v>184</v>
      </c>
      <c r="C290" s="103" t="s">
        <v>81</v>
      </c>
      <c r="D290" s="103">
        <v>213665</v>
      </c>
      <c r="E290" s="103" t="s">
        <v>194</v>
      </c>
      <c r="F290" s="18">
        <v>2</v>
      </c>
      <c r="G290" s="101">
        <v>182103</v>
      </c>
      <c r="H290" s="103" t="s">
        <v>194</v>
      </c>
      <c r="I290" s="100" t="s">
        <v>203</v>
      </c>
      <c r="J290" s="100">
        <v>1</v>
      </c>
      <c r="K290" s="104">
        <v>45113</v>
      </c>
      <c r="L290" s="100" t="s">
        <v>204</v>
      </c>
      <c r="M290" s="106">
        <v>45113.432627314818</v>
      </c>
      <c r="N290" s="100">
        <v>18</v>
      </c>
      <c r="O290" s="100">
        <v>18</v>
      </c>
      <c r="P290" s="100">
        <v>5</v>
      </c>
      <c r="Q290" s="100">
        <v>9</v>
      </c>
    </row>
    <row r="291" spans="1:17" x14ac:dyDescent="0.3">
      <c r="A291" s="100">
        <v>24</v>
      </c>
      <c r="B291" s="103" t="s">
        <v>184</v>
      </c>
      <c r="C291" s="103" t="s">
        <v>81</v>
      </c>
      <c r="D291" s="103">
        <v>213665</v>
      </c>
      <c r="E291" s="103" t="s">
        <v>194</v>
      </c>
      <c r="F291" s="18">
        <v>2</v>
      </c>
      <c r="G291" s="101">
        <v>182103</v>
      </c>
      <c r="H291" s="103" t="s">
        <v>194</v>
      </c>
      <c r="I291" s="100" t="s">
        <v>205</v>
      </c>
      <c r="J291" s="100">
        <v>0</v>
      </c>
      <c r="K291" s="104">
        <v>45113</v>
      </c>
      <c r="L291" s="100" t="s">
        <v>206</v>
      </c>
      <c r="M291" s="106">
        <v>45113.432673611111</v>
      </c>
      <c r="N291" s="100">
        <v>18</v>
      </c>
      <c r="O291" s="100">
        <v>18</v>
      </c>
      <c r="P291" s="100">
        <v>6</v>
      </c>
      <c r="Q291" s="100">
        <v>10</v>
      </c>
    </row>
    <row r="292" spans="1:17" x14ac:dyDescent="0.3">
      <c r="A292" s="100">
        <v>25</v>
      </c>
      <c r="B292" s="103" t="s">
        <v>184</v>
      </c>
      <c r="C292" s="103" t="s">
        <v>81</v>
      </c>
      <c r="D292" s="103">
        <v>213665</v>
      </c>
      <c r="E292" s="103" t="s">
        <v>194</v>
      </c>
      <c r="F292" s="18">
        <v>2</v>
      </c>
      <c r="G292" s="101">
        <v>182103</v>
      </c>
      <c r="H292" s="103" t="s">
        <v>194</v>
      </c>
      <c r="I292" s="100" t="s">
        <v>207</v>
      </c>
      <c r="J292" s="100">
        <v>1</v>
      </c>
      <c r="K292" s="104">
        <v>45113</v>
      </c>
      <c r="L292" s="100" t="s">
        <v>208</v>
      </c>
      <c r="M292" s="106">
        <v>45113.432754629626</v>
      </c>
      <c r="N292" s="100">
        <v>18</v>
      </c>
      <c r="O292" s="100">
        <v>18</v>
      </c>
      <c r="P292" s="100">
        <v>7</v>
      </c>
      <c r="Q292" s="100">
        <v>11</v>
      </c>
    </row>
    <row r="293" spans="1:17" x14ac:dyDescent="0.3">
      <c r="A293" s="100">
        <v>34</v>
      </c>
      <c r="B293" s="103" t="s">
        <v>184</v>
      </c>
      <c r="C293" s="103" t="s">
        <v>81</v>
      </c>
      <c r="D293" s="103">
        <v>213665</v>
      </c>
      <c r="E293" s="103" t="s">
        <v>194</v>
      </c>
      <c r="F293" s="18">
        <v>2</v>
      </c>
      <c r="G293" s="101">
        <v>182103</v>
      </c>
      <c r="H293" s="103" t="s">
        <v>194</v>
      </c>
      <c r="I293" s="100" t="s">
        <v>225</v>
      </c>
      <c r="J293" s="100">
        <v>0</v>
      </c>
      <c r="K293" s="104">
        <v>45113</v>
      </c>
      <c r="L293" s="100" t="s">
        <v>226</v>
      </c>
      <c r="M293" s="106">
        <v>45113.772002314814</v>
      </c>
      <c r="N293" s="100">
        <v>18</v>
      </c>
      <c r="O293" s="100">
        <v>18</v>
      </c>
      <c r="P293" s="100">
        <v>8</v>
      </c>
      <c r="Q293" s="100">
        <v>19</v>
      </c>
    </row>
    <row r="294" spans="1:17" x14ac:dyDescent="0.3">
      <c r="A294" s="100">
        <v>35</v>
      </c>
      <c r="B294" s="103" t="s">
        <v>184</v>
      </c>
      <c r="C294" s="103" t="s">
        <v>81</v>
      </c>
      <c r="D294" s="103">
        <v>213665</v>
      </c>
      <c r="E294" s="103" t="s">
        <v>194</v>
      </c>
      <c r="F294" s="18">
        <v>2</v>
      </c>
      <c r="G294" s="101">
        <v>182103</v>
      </c>
      <c r="H294" s="103" t="s">
        <v>194</v>
      </c>
      <c r="I294" s="100" t="s">
        <v>227</v>
      </c>
      <c r="J294" s="100">
        <v>0</v>
      </c>
      <c r="K294" s="104">
        <v>45113</v>
      </c>
      <c r="L294" s="100" t="s">
        <v>228</v>
      </c>
      <c r="M294" s="106">
        <v>45113.772187499999</v>
      </c>
      <c r="N294" s="100">
        <v>18</v>
      </c>
      <c r="O294" s="100">
        <v>18</v>
      </c>
      <c r="P294" s="100">
        <v>9</v>
      </c>
      <c r="Q294" s="100">
        <v>20</v>
      </c>
    </row>
    <row r="295" spans="1:17" x14ac:dyDescent="0.3">
      <c r="A295" s="100">
        <v>166</v>
      </c>
      <c r="B295" s="103" t="s">
        <v>596</v>
      </c>
      <c r="C295" s="103" t="s">
        <v>597</v>
      </c>
      <c r="D295" s="103">
        <v>213711</v>
      </c>
      <c r="E295" s="103" t="s">
        <v>902</v>
      </c>
      <c r="F295" s="18">
        <v>7</v>
      </c>
      <c r="G295" s="101">
        <v>192193</v>
      </c>
      <c r="H295" s="103" t="s">
        <v>902</v>
      </c>
      <c r="I295" s="100" t="s">
        <v>903</v>
      </c>
      <c r="J295" s="100">
        <v>1</v>
      </c>
      <c r="K295" s="104">
        <v>45113</v>
      </c>
      <c r="L295" s="100" t="s">
        <v>904</v>
      </c>
      <c r="M295" s="106">
        <v>45113.450312499997</v>
      </c>
      <c r="N295" s="100">
        <v>19</v>
      </c>
      <c r="O295" s="100">
        <v>19</v>
      </c>
      <c r="P295" s="100">
        <v>1</v>
      </c>
      <c r="Q295" s="100">
        <v>150</v>
      </c>
    </row>
    <row r="296" spans="1:17" x14ac:dyDescent="0.3">
      <c r="A296" s="100">
        <v>177</v>
      </c>
      <c r="B296" s="103" t="s">
        <v>596</v>
      </c>
      <c r="C296" s="103" t="s">
        <v>597</v>
      </c>
      <c r="D296" s="103">
        <v>213711</v>
      </c>
      <c r="E296" s="103" t="s">
        <v>902</v>
      </c>
      <c r="F296" s="18">
        <v>7</v>
      </c>
      <c r="G296" s="101">
        <v>192193</v>
      </c>
      <c r="H296" s="103" t="s">
        <v>902</v>
      </c>
      <c r="I296" s="100" t="s">
        <v>926</v>
      </c>
      <c r="J296" s="100">
        <v>1</v>
      </c>
      <c r="K296" s="104">
        <v>45113</v>
      </c>
      <c r="L296" s="100" t="s">
        <v>927</v>
      </c>
      <c r="M296" s="106">
        <v>45113.659039351849</v>
      </c>
      <c r="N296" s="100">
        <v>19</v>
      </c>
      <c r="O296" s="100">
        <v>19</v>
      </c>
      <c r="P296" s="100">
        <v>2</v>
      </c>
      <c r="Q296" s="100">
        <v>161</v>
      </c>
    </row>
    <row r="297" spans="1:17" x14ac:dyDescent="0.3">
      <c r="A297" s="100">
        <v>178</v>
      </c>
      <c r="B297" s="103" t="s">
        <v>596</v>
      </c>
      <c r="C297" s="103" t="s">
        <v>597</v>
      </c>
      <c r="D297" s="103">
        <v>213711</v>
      </c>
      <c r="E297" s="103" t="s">
        <v>902</v>
      </c>
      <c r="F297" s="18">
        <v>7</v>
      </c>
      <c r="G297" s="101">
        <v>192193</v>
      </c>
      <c r="H297" s="103" t="s">
        <v>902</v>
      </c>
      <c r="I297" s="100" t="s">
        <v>928</v>
      </c>
      <c r="J297" s="100">
        <v>2</v>
      </c>
      <c r="K297" s="104">
        <v>45113</v>
      </c>
      <c r="L297" s="100" t="s">
        <v>929</v>
      </c>
      <c r="M297" s="106">
        <v>45113.659537037034</v>
      </c>
      <c r="N297" s="100">
        <v>19</v>
      </c>
      <c r="O297" s="100">
        <v>19</v>
      </c>
      <c r="P297" s="100">
        <v>3</v>
      </c>
      <c r="Q297" s="100">
        <v>162</v>
      </c>
    </row>
    <row r="298" spans="1:17" x14ac:dyDescent="0.3">
      <c r="A298" s="100">
        <v>180</v>
      </c>
      <c r="B298" s="103" t="s">
        <v>596</v>
      </c>
      <c r="C298" s="103" t="s">
        <v>597</v>
      </c>
      <c r="D298" s="103">
        <v>213711</v>
      </c>
      <c r="E298" s="103" t="s">
        <v>902</v>
      </c>
      <c r="F298" s="18">
        <v>7</v>
      </c>
      <c r="G298" s="101">
        <v>192193</v>
      </c>
      <c r="H298" s="103" t="s">
        <v>902</v>
      </c>
      <c r="I298" s="100" t="s">
        <v>932</v>
      </c>
      <c r="J298" s="100">
        <v>2</v>
      </c>
      <c r="K298" s="104">
        <v>45113</v>
      </c>
      <c r="L298" s="100" t="s">
        <v>933</v>
      </c>
      <c r="M298" s="106">
        <v>45113.66369212963</v>
      </c>
      <c r="N298" s="100">
        <v>19</v>
      </c>
      <c r="O298" s="100">
        <v>19</v>
      </c>
      <c r="P298" s="100">
        <v>4</v>
      </c>
      <c r="Q298" s="100">
        <v>164</v>
      </c>
    </row>
    <row r="299" spans="1:17" x14ac:dyDescent="0.3">
      <c r="A299" s="100">
        <v>183</v>
      </c>
      <c r="B299" s="103" t="s">
        <v>596</v>
      </c>
      <c r="C299" s="103" t="s">
        <v>597</v>
      </c>
      <c r="D299" s="103">
        <v>213711</v>
      </c>
      <c r="E299" s="103" t="s">
        <v>902</v>
      </c>
      <c r="F299" s="18">
        <v>7</v>
      </c>
      <c r="G299" s="101">
        <v>192193</v>
      </c>
      <c r="H299" s="103" t="s">
        <v>902</v>
      </c>
      <c r="I299" s="100" t="s">
        <v>939</v>
      </c>
      <c r="J299" s="100">
        <v>3</v>
      </c>
      <c r="K299" s="104">
        <v>45113</v>
      </c>
      <c r="L299" s="100" t="s">
        <v>940</v>
      </c>
      <c r="M299" s="106">
        <v>45113.683148148149</v>
      </c>
      <c r="N299" s="100">
        <v>19</v>
      </c>
      <c r="O299" s="100">
        <v>19</v>
      </c>
      <c r="P299" s="100">
        <v>5</v>
      </c>
      <c r="Q299" s="100">
        <v>167</v>
      </c>
    </row>
    <row r="300" spans="1:17" x14ac:dyDescent="0.3">
      <c r="A300" s="100">
        <v>184</v>
      </c>
      <c r="B300" s="103" t="s">
        <v>596</v>
      </c>
      <c r="C300" s="103" t="s">
        <v>597</v>
      </c>
      <c r="D300" s="103">
        <v>213711</v>
      </c>
      <c r="E300" s="103" t="s">
        <v>902</v>
      </c>
      <c r="F300" s="18">
        <v>7</v>
      </c>
      <c r="G300" s="101">
        <v>192193</v>
      </c>
      <c r="H300" s="103" t="s">
        <v>902</v>
      </c>
      <c r="I300" s="100" t="s">
        <v>941</v>
      </c>
      <c r="J300" s="100">
        <v>2</v>
      </c>
      <c r="K300" s="104">
        <v>45113</v>
      </c>
      <c r="L300" s="100" t="s">
        <v>942</v>
      </c>
      <c r="M300" s="106">
        <v>45113.68378472222</v>
      </c>
      <c r="N300" s="100">
        <v>19</v>
      </c>
      <c r="O300" s="100">
        <v>19</v>
      </c>
      <c r="P300" s="100">
        <v>6</v>
      </c>
      <c r="Q300" s="100">
        <v>168</v>
      </c>
    </row>
    <row r="301" spans="1:17" x14ac:dyDescent="0.3">
      <c r="A301" s="100">
        <v>190</v>
      </c>
      <c r="B301" s="103" t="s">
        <v>596</v>
      </c>
      <c r="C301" s="103" t="s">
        <v>597</v>
      </c>
      <c r="D301" s="103">
        <v>213711</v>
      </c>
      <c r="E301" s="103" t="s">
        <v>902</v>
      </c>
      <c r="F301" s="18">
        <v>7</v>
      </c>
      <c r="G301" s="101">
        <v>192193</v>
      </c>
      <c r="H301" s="103" t="s">
        <v>902</v>
      </c>
      <c r="I301" s="100" t="s">
        <v>953</v>
      </c>
      <c r="J301" s="100">
        <v>1</v>
      </c>
      <c r="K301" s="104">
        <v>45113</v>
      </c>
      <c r="L301" s="100" t="s">
        <v>954</v>
      </c>
      <c r="M301" s="106">
        <v>45113.708668981482</v>
      </c>
      <c r="N301" s="100">
        <v>19</v>
      </c>
      <c r="O301" s="100">
        <v>19</v>
      </c>
      <c r="P301" s="100">
        <v>7</v>
      </c>
      <c r="Q301" s="100">
        <v>174</v>
      </c>
    </row>
    <row r="302" spans="1:17" x14ac:dyDescent="0.3">
      <c r="A302" s="100">
        <v>167</v>
      </c>
      <c r="B302" s="103" t="s">
        <v>596</v>
      </c>
      <c r="C302" s="103" t="s">
        <v>597</v>
      </c>
      <c r="D302" s="103">
        <v>213711</v>
      </c>
      <c r="E302" s="103" t="s">
        <v>905</v>
      </c>
      <c r="F302" s="18">
        <v>23</v>
      </c>
      <c r="G302" s="101">
        <v>213129</v>
      </c>
      <c r="H302" s="103" t="s">
        <v>905</v>
      </c>
      <c r="I302" s="100" t="s">
        <v>906</v>
      </c>
      <c r="J302" s="100">
        <v>3</v>
      </c>
      <c r="K302" s="104">
        <v>45113</v>
      </c>
      <c r="L302" s="100" t="s">
        <v>907</v>
      </c>
      <c r="M302" s="106">
        <v>45113.532719907409</v>
      </c>
      <c r="N302" s="100">
        <v>20</v>
      </c>
      <c r="O302" s="100">
        <v>20</v>
      </c>
      <c r="P302" s="100">
        <v>1</v>
      </c>
      <c r="Q302" s="100">
        <v>151</v>
      </c>
    </row>
    <row r="303" spans="1:17" x14ac:dyDescent="0.3">
      <c r="A303" s="100">
        <v>172</v>
      </c>
      <c r="B303" s="103" t="s">
        <v>596</v>
      </c>
      <c r="C303" s="103" t="s">
        <v>597</v>
      </c>
      <c r="D303" s="103">
        <v>213711</v>
      </c>
      <c r="E303" s="103" t="s">
        <v>905</v>
      </c>
      <c r="F303" s="18">
        <v>23</v>
      </c>
      <c r="G303" s="101">
        <v>213129</v>
      </c>
      <c r="H303" s="103" t="s">
        <v>905</v>
      </c>
      <c r="I303" s="100" t="s">
        <v>916</v>
      </c>
      <c r="J303" s="100">
        <v>1</v>
      </c>
      <c r="K303" s="104">
        <v>45113</v>
      </c>
      <c r="L303" s="100" t="s">
        <v>917</v>
      </c>
      <c r="M303" s="106">
        <v>45113.577499999999</v>
      </c>
      <c r="N303" s="100">
        <v>20</v>
      </c>
      <c r="O303" s="100">
        <v>20</v>
      </c>
      <c r="P303" s="100">
        <v>2</v>
      </c>
      <c r="Q303" s="100">
        <v>156</v>
      </c>
    </row>
    <row r="304" spans="1:17" x14ac:dyDescent="0.3">
      <c r="A304" s="100">
        <v>173</v>
      </c>
      <c r="B304" s="103" t="s">
        <v>596</v>
      </c>
      <c r="C304" s="103" t="s">
        <v>597</v>
      </c>
      <c r="D304" s="103">
        <v>213711</v>
      </c>
      <c r="E304" s="103" t="s">
        <v>905</v>
      </c>
      <c r="F304" s="18">
        <v>23</v>
      </c>
      <c r="G304" s="101">
        <v>213129</v>
      </c>
      <c r="H304" s="103" t="s">
        <v>905</v>
      </c>
      <c r="I304" s="100" t="s">
        <v>918</v>
      </c>
      <c r="J304" s="100">
        <v>0</v>
      </c>
      <c r="K304" s="104">
        <v>45113</v>
      </c>
      <c r="L304" s="100" t="s">
        <v>919</v>
      </c>
      <c r="M304" s="106">
        <v>45113.577962962961</v>
      </c>
      <c r="N304" s="100">
        <v>20</v>
      </c>
      <c r="O304" s="100">
        <v>20</v>
      </c>
      <c r="P304" s="100">
        <v>3</v>
      </c>
      <c r="Q304" s="100">
        <v>157</v>
      </c>
    </row>
    <row r="305" spans="1:17" x14ac:dyDescent="0.3">
      <c r="A305" s="100">
        <v>174</v>
      </c>
      <c r="B305" s="103" t="s">
        <v>596</v>
      </c>
      <c r="C305" s="103" t="s">
        <v>597</v>
      </c>
      <c r="D305" s="103">
        <v>213711</v>
      </c>
      <c r="E305" s="103" t="s">
        <v>905</v>
      </c>
      <c r="F305" s="18">
        <v>23</v>
      </c>
      <c r="G305" s="101">
        <v>213129</v>
      </c>
      <c r="H305" s="103" t="s">
        <v>905</v>
      </c>
      <c r="I305" s="100" t="s">
        <v>920</v>
      </c>
      <c r="J305" s="100">
        <v>2</v>
      </c>
      <c r="K305" s="104">
        <v>45113</v>
      </c>
      <c r="L305" s="100" t="s">
        <v>921</v>
      </c>
      <c r="M305" s="106">
        <v>45113.577974537038</v>
      </c>
      <c r="N305" s="100">
        <v>20</v>
      </c>
      <c r="O305" s="100">
        <v>20</v>
      </c>
      <c r="P305" s="100">
        <v>4</v>
      </c>
      <c r="Q305" s="100">
        <v>158</v>
      </c>
    </row>
    <row r="306" spans="1:17" x14ac:dyDescent="0.3">
      <c r="A306" s="100">
        <v>175</v>
      </c>
      <c r="B306" s="103" t="s">
        <v>596</v>
      </c>
      <c r="C306" s="103" t="s">
        <v>597</v>
      </c>
      <c r="D306" s="103">
        <v>213711</v>
      </c>
      <c r="E306" s="103" t="s">
        <v>905</v>
      </c>
      <c r="F306" s="18">
        <v>23</v>
      </c>
      <c r="G306" s="101">
        <v>213129</v>
      </c>
      <c r="H306" s="103" t="s">
        <v>905</v>
      </c>
      <c r="I306" s="100" t="s">
        <v>922</v>
      </c>
      <c r="J306" s="100">
        <v>2</v>
      </c>
      <c r="K306" s="104">
        <v>45113</v>
      </c>
      <c r="L306" s="100" t="s">
        <v>923</v>
      </c>
      <c r="M306" s="106">
        <v>45113.578564814816</v>
      </c>
      <c r="N306" s="100">
        <v>20</v>
      </c>
      <c r="O306" s="100">
        <v>20</v>
      </c>
      <c r="P306" s="100">
        <v>5</v>
      </c>
      <c r="Q306" s="100">
        <v>159</v>
      </c>
    </row>
    <row r="307" spans="1:17" x14ac:dyDescent="0.3">
      <c r="A307" s="100">
        <v>179</v>
      </c>
      <c r="B307" s="103" t="s">
        <v>596</v>
      </c>
      <c r="C307" s="103" t="s">
        <v>597</v>
      </c>
      <c r="D307" s="103">
        <v>213711</v>
      </c>
      <c r="E307" s="103" t="s">
        <v>905</v>
      </c>
      <c r="F307" s="18">
        <v>23</v>
      </c>
      <c r="G307" s="101">
        <v>213129</v>
      </c>
      <c r="H307" s="103" t="s">
        <v>905</v>
      </c>
      <c r="I307" s="100" t="s">
        <v>930</v>
      </c>
      <c r="J307" s="100">
        <v>1</v>
      </c>
      <c r="K307" s="104">
        <v>45113</v>
      </c>
      <c r="L307" s="100" t="s">
        <v>931</v>
      </c>
      <c r="M307" s="106">
        <v>45113.663078703707</v>
      </c>
      <c r="N307" s="100">
        <v>20</v>
      </c>
      <c r="O307" s="100">
        <v>20</v>
      </c>
      <c r="P307" s="100">
        <v>6</v>
      </c>
      <c r="Q307" s="100">
        <v>163</v>
      </c>
    </row>
    <row r="308" spans="1:17" x14ac:dyDescent="0.3">
      <c r="A308" s="100">
        <v>186</v>
      </c>
      <c r="B308" s="103" t="s">
        <v>596</v>
      </c>
      <c r="C308" s="103" t="s">
        <v>597</v>
      </c>
      <c r="D308" s="103">
        <v>213711</v>
      </c>
      <c r="E308" s="103" t="s">
        <v>905</v>
      </c>
      <c r="F308" s="18">
        <v>23</v>
      </c>
      <c r="G308" s="101">
        <v>213129</v>
      </c>
      <c r="H308" s="103" t="s">
        <v>905</v>
      </c>
      <c r="I308" s="100" t="s">
        <v>945</v>
      </c>
      <c r="J308" s="100">
        <v>2</v>
      </c>
      <c r="K308" s="104">
        <v>45113</v>
      </c>
      <c r="L308" s="100" t="s">
        <v>946</v>
      </c>
      <c r="M308" s="106">
        <v>45113.686064814814</v>
      </c>
      <c r="N308" s="100">
        <v>20</v>
      </c>
      <c r="O308" s="100">
        <v>20</v>
      </c>
      <c r="P308" s="100">
        <v>7</v>
      </c>
      <c r="Q308" s="100">
        <v>170</v>
      </c>
    </row>
    <row r="309" spans="1:17" x14ac:dyDescent="0.3">
      <c r="A309" s="100">
        <v>193</v>
      </c>
      <c r="B309" s="103" t="s">
        <v>596</v>
      </c>
      <c r="C309" s="103" t="s">
        <v>597</v>
      </c>
      <c r="D309" s="103">
        <v>213711</v>
      </c>
      <c r="E309" s="103" t="s">
        <v>905</v>
      </c>
      <c r="F309" s="18">
        <v>23</v>
      </c>
      <c r="G309" s="101">
        <v>213129</v>
      </c>
      <c r="H309" s="103" t="s">
        <v>905</v>
      </c>
      <c r="I309" s="100" t="s">
        <v>959</v>
      </c>
      <c r="J309" s="100">
        <v>1</v>
      </c>
      <c r="K309" s="104">
        <v>45113</v>
      </c>
      <c r="L309" s="100" t="s">
        <v>960</v>
      </c>
      <c r="M309" s="106">
        <v>45113.846747685187</v>
      </c>
      <c r="N309" s="100">
        <v>20</v>
      </c>
      <c r="O309" s="100">
        <v>20</v>
      </c>
      <c r="P309" s="100">
        <v>8</v>
      </c>
      <c r="Q309" s="100">
        <v>177</v>
      </c>
    </row>
    <row r="310" spans="1:17" x14ac:dyDescent="0.3">
      <c r="A310" s="100">
        <v>194</v>
      </c>
      <c r="B310" s="103" t="s">
        <v>596</v>
      </c>
      <c r="C310" s="103" t="s">
        <v>597</v>
      </c>
      <c r="D310" s="103">
        <v>213711</v>
      </c>
      <c r="E310" s="103" t="s">
        <v>905</v>
      </c>
      <c r="F310" s="18">
        <v>23</v>
      </c>
      <c r="G310" s="101">
        <v>213129</v>
      </c>
      <c r="H310" s="103" t="s">
        <v>905</v>
      </c>
      <c r="I310" s="100" t="s">
        <v>961</v>
      </c>
      <c r="J310" s="100">
        <v>0</v>
      </c>
      <c r="K310" s="104">
        <v>45113</v>
      </c>
      <c r="L310" s="100" t="s">
        <v>962</v>
      </c>
      <c r="M310" s="106">
        <v>45113.847037037034</v>
      </c>
      <c r="N310" s="100">
        <v>20</v>
      </c>
      <c r="O310" s="100">
        <v>20</v>
      </c>
      <c r="P310" s="100">
        <v>9</v>
      </c>
      <c r="Q310" s="100">
        <v>178</v>
      </c>
    </row>
    <row r="311" spans="1:17" x14ac:dyDescent="0.3">
      <c r="A311" s="100">
        <v>195</v>
      </c>
      <c r="B311" s="103" t="s">
        <v>596</v>
      </c>
      <c r="C311" s="103" t="s">
        <v>597</v>
      </c>
      <c r="D311" s="103">
        <v>213711</v>
      </c>
      <c r="E311" s="103" t="s">
        <v>905</v>
      </c>
      <c r="F311" s="18">
        <v>23</v>
      </c>
      <c r="G311" s="101">
        <v>213129</v>
      </c>
      <c r="H311" s="103" t="s">
        <v>905</v>
      </c>
      <c r="I311" s="100" t="s">
        <v>963</v>
      </c>
      <c r="J311" s="100">
        <v>1</v>
      </c>
      <c r="K311" s="104">
        <v>45113</v>
      </c>
      <c r="L311" s="100" t="s">
        <v>964</v>
      </c>
      <c r="M311" s="106">
        <v>45113.848749999997</v>
      </c>
      <c r="N311" s="100">
        <v>20</v>
      </c>
      <c r="O311" s="100">
        <v>20</v>
      </c>
      <c r="P311" s="100">
        <v>10</v>
      </c>
      <c r="Q311" s="100">
        <v>179</v>
      </c>
    </row>
    <row r="312" spans="1:17" x14ac:dyDescent="0.3">
      <c r="A312" s="100">
        <v>196</v>
      </c>
      <c r="B312" s="103" t="s">
        <v>596</v>
      </c>
      <c r="C312" s="103" t="s">
        <v>597</v>
      </c>
      <c r="D312" s="103">
        <v>213711</v>
      </c>
      <c r="E312" s="103" t="s">
        <v>905</v>
      </c>
      <c r="F312" s="18">
        <v>23</v>
      </c>
      <c r="G312" s="101">
        <v>213129</v>
      </c>
      <c r="H312" s="103" t="s">
        <v>905</v>
      </c>
      <c r="I312" s="100" t="s">
        <v>965</v>
      </c>
      <c r="J312" s="100">
        <v>2</v>
      </c>
      <c r="K312" s="104">
        <v>45113</v>
      </c>
      <c r="L312" s="100" t="s">
        <v>966</v>
      </c>
      <c r="M312" s="106">
        <v>45113.849965277775</v>
      </c>
      <c r="N312" s="100">
        <v>20</v>
      </c>
      <c r="O312" s="100">
        <v>20</v>
      </c>
      <c r="P312" s="100">
        <v>11</v>
      </c>
      <c r="Q312" s="100">
        <v>180</v>
      </c>
    </row>
    <row r="313" spans="1:17" x14ac:dyDescent="0.3">
      <c r="A313" s="100">
        <v>197</v>
      </c>
      <c r="B313" s="103" t="s">
        <v>596</v>
      </c>
      <c r="C313" s="103" t="s">
        <v>597</v>
      </c>
      <c r="D313" s="103">
        <v>213711</v>
      </c>
      <c r="E313" s="103" t="s">
        <v>905</v>
      </c>
      <c r="F313" s="18">
        <v>23</v>
      </c>
      <c r="G313" s="101">
        <v>213129</v>
      </c>
      <c r="H313" s="103" t="s">
        <v>905</v>
      </c>
      <c r="I313" s="100" t="s">
        <v>967</v>
      </c>
      <c r="J313" s="100">
        <v>1</v>
      </c>
      <c r="K313" s="104">
        <v>45113</v>
      </c>
      <c r="L313" s="100" t="s">
        <v>968</v>
      </c>
      <c r="M313" s="106">
        <v>45113.849988425929</v>
      </c>
      <c r="N313" s="100">
        <v>20</v>
      </c>
      <c r="O313" s="100">
        <v>20</v>
      </c>
      <c r="P313" s="100">
        <v>12</v>
      </c>
      <c r="Q313" s="100">
        <v>181</v>
      </c>
    </row>
    <row r="314" spans="1:17" x14ac:dyDescent="0.3">
      <c r="A314" s="100">
        <v>198</v>
      </c>
      <c r="B314" s="103" t="s">
        <v>596</v>
      </c>
      <c r="C314" s="103" t="s">
        <v>597</v>
      </c>
      <c r="D314" s="103">
        <v>213711</v>
      </c>
      <c r="E314" s="103" t="s">
        <v>905</v>
      </c>
      <c r="F314" s="18">
        <v>23</v>
      </c>
      <c r="G314" s="101">
        <v>213129</v>
      </c>
      <c r="H314" s="103" t="s">
        <v>905</v>
      </c>
      <c r="I314" s="100" t="s">
        <v>969</v>
      </c>
      <c r="J314" s="100">
        <v>2</v>
      </c>
      <c r="K314" s="104">
        <v>45113</v>
      </c>
      <c r="L314" s="100" t="s">
        <v>970</v>
      </c>
      <c r="M314" s="106">
        <v>45113.850266203706</v>
      </c>
      <c r="N314" s="100">
        <v>20</v>
      </c>
      <c r="O314" s="100">
        <v>20</v>
      </c>
      <c r="P314" s="100">
        <v>13</v>
      </c>
      <c r="Q314" s="100">
        <v>182</v>
      </c>
    </row>
    <row r="315" spans="1:17" x14ac:dyDescent="0.3">
      <c r="A315" s="100">
        <v>199</v>
      </c>
      <c r="B315" s="103" t="s">
        <v>596</v>
      </c>
      <c r="C315" s="103" t="s">
        <v>597</v>
      </c>
      <c r="D315" s="103">
        <v>213711</v>
      </c>
      <c r="E315" s="103" t="s">
        <v>905</v>
      </c>
      <c r="F315" s="18">
        <v>23</v>
      </c>
      <c r="G315" s="101">
        <v>213129</v>
      </c>
      <c r="H315" s="103" t="s">
        <v>905</v>
      </c>
      <c r="I315" s="100" t="s">
        <v>971</v>
      </c>
      <c r="J315" s="100">
        <v>1</v>
      </c>
      <c r="K315" s="104">
        <v>45113</v>
      </c>
      <c r="L315" s="100" t="s">
        <v>972</v>
      </c>
      <c r="M315" s="106">
        <v>45113.850428240738</v>
      </c>
      <c r="N315" s="100">
        <v>20</v>
      </c>
      <c r="O315" s="100">
        <v>20</v>
      </c>
      <c r="P315" s="100">
        <v>14</v>
      </c>
      <c r="Q315" s="100">
        <v>183</v>
      </c>
    </row>
    <row r="316" spans="1:17" x14ac:dyDescent="0.3">
      <c r="A316" s="100">
        <v>200</v>
      </c>
      <c r="B316" s="103" t="s">
        <v>596</v>
      </c>
      <c r="C316" s="103" t="s">
        <v>597</v>
      </c>
      <c r="D316" s="103">
        <v>213711</v>
      </c>
      <c r="E316" s="103" t="s">
        <v>905</v>
      </c>
      <c r="F316" s="18">
        <v>23</v>
      </c>
      <c r="G316" s="101">
        <v>213129</v>
      </c>
      <c r="H316" s="103" t="s">
        <v>905</v>
      </c>
      <c r="I316" s="100" t="s">
        <v>973</v>
      </c>
      <c r="J316" s="100">
        <v>1</v>
      </c>
      <c r="K316" s="104">
        <v>45113</v>
      </c>
      <c r="L316" s="100" t="s">
        <v>974</v>
      </c>
      <c r="M316" s="106">
        <v>45113.850555555553</v>
      </c>
      <c r="N316" s="100">
        <v>20</v>
      </c>
      <c r="O316" s="100">
        <v>20</v>
      </c>
      <c r="P316" s="100">
        <v>15</v>
      </c>
      <c r="Q316" s="100">
        <v>184</v>
      </c>
    </row>
    <row r="317" spans="1:17" x14ac:dyDescent="0.3">
      <c r="A317" s="100">
        <v>201</v>
      </c>
      <c r="B317" s="103" t="s">
        <v>596</v>
      </c>
      <c r="C317" s="103" t="s">
        <v>597</v>
      </c>
      <c r="D317" s="103">
        <v>213711</v>
      </c>
      <c r="E317" s="103" t="s">
        <v>905</v>
      </c>
      <c r="F317" s="18">
        <v>23</v>
      </c>
      <c r="G317" s="101">
        <v>213129</v>
      </c>
      <c r="H317" s="103" t="s">
        <v>905</v>
      </c>
      <c r="I317" s="100" t="s">
        <v>975</v>
      </c>
      <c r="J317" s="100">
        <v>0</v>
      </c>
      <c r="K317" s="104">
        <v>45113</v>
      </c>
      <c r="L317" s="100" t="s">
        <v>976</v>
      </c>
      <c r="M317" s="106">
        <v>45113.850798611114</v>
      </c>
      <c r="N317" s="100">
        <v>20</v>
      </c>
      <c r="O317" s="100">
        <v>20</v>
      </c>
      <c r="P317" s="100">
        <v>16</v>
      </c>
      <c r="Q317" s="100">
        <v>185</v>
      </c>
    </row>
    <row r="318" spans="1:17" x14ac:dyDescent="0.3">
      <c r="A318" s="100">
        <v>202</v>
      </c>
      <c r="B318" s="103" t="s">
        <v>596</v>
      </c>
      <c r="C318" s="103" t="s">
        <v>597</v>
      </c>
      <c r="D318" s="103">
        <v>213711</v>
      </c>
      <c r="E318" s="103" t="s">
        <v>905</v>
      </c>
      <c r="F318" s="18">
        <v>23</v>
      </c>
      <c r="G318" s="101">
        <v>213129</v>
      </c>
      <c r="H318" s="103" t="s">
        <v>905</v>
      </c>
      <c r="I318" s="100" t="s">
        <v>977</v>
      </c>
      <c r="J318" s="100">
        <v>2</v>
      </c>
      <c r="K318" s="104">
        <v>45113</v>
      </c>
      <c r="L318" s="100" t="s">
        <v>978</v>
      </c>
      <c r="M318" s="106">
        <v>45113.851168981484</v>
      </c>
      <c r="N318" s="100">
        <v>20</v>
      </c>
      <c r="O318" s="100">
        <v>20</v>
      </c>
      <c r="P318" s="100">
        <v>17</v>
      </c>
      <c r="Q318" s="100">
        <v>186</v>
      </c>
    </row>
    <row r="319" spans="1:17" x14ac:dyDescent="0.3">
      <c r="A319" s="100">
        <v>203</v>
      </c>
      <c r="B319" s="103" t="s">
        <v>596</v>
      </c>
      <c r="C319" s="103" t="s">
        <v>597</v>
      </c>
      <c r="D319" s="103">
        <v>213711</v>
      </c>
      <c r="E319" s="103" t="s">
        <v>905</v>
      </c>
      <c r="F319" s="18">
        <v>23</v>
      </c>
      <c r="G319" s="101">
        <v>213129</v>
      </c>
      <c r="H319" s="103" t="s">
        <v>905</v>
      </c>
      <c r="I319" s="100" t="s">
        <v>979</v>
      </c>
      <c r="J319" s="100">
        <v>1</v>
      </c>
      <c r="K319" s="104">
        <v>45113</v>
      </c>
      <c r="L319" s="100" t="s">
        <v>980</v>
      </c>
      <c r="M319" s="106">
        <v>45113.851400462961</v>
      </c>
      <c r="N319" s="100">
        <v>20</v>
      </c>
      <c r="O319" s="100">
        <v>20</v>
      </c>
      <c r="P319" s="100">
        <v>18</v>
      </c>
      <c r="Q319" s="100">
        <v>187</v>
      </c>
    </row>
    <row r="320" spans="1:17" x14ac:dyDescent="0.3">
      <c r="A320" s="100">
        <v>204</v>
      </c>
      <c r="B320" s="103" t="s">
        <v>596</v>
      </c>
      <c r="C320" s="103" t="s">
        <v>597</v>
      </c>
      <c r="D320" s="103">
        <v>213711</v>
      </c>
      <c r="E320" s="103" t="s">
        <v>905</v>
      </c>
      <c r="F320" s="18">
        <v>23</v>
      </c>
      <c r="G320" s="101">
        <v>213129</v>
      </c>
      <c r="H320" s="103" t="s">
        <v>905</v>
      </c>
      <c r="I320" s="100" t="s">
        <v>981</v>
      </c>
      <c r="J320" s="100">
        <v>0</v>
      </c>
      <c r="K320" s="104">
        <v>45113</v>
      </c>
      <c r="L320" s="100" t="s">
        <v>982</v>
      </c>
      <c r="M320" s="106">
        <v>45113.861226851855</v>
      </c>
      <c r="N320" s="100">
        <v>20</v>
      </c>
      <c r="O320" s="100">
        <v>20</v>
      </c>
      <c r="P320" s="100">
        <v>19</v>
      </c>
      <c r="Q320" s="100">
        <v>188</v>
      </c>
    </row>
    <row r="321" spans="1:17" x14ac:dyDescent="0.3">
      <c r="A321" s="100">
        <v>85</v>
      </c>
      <c r="B321" s="103" t="s">
        <v>356</v>
      </c>
      <c r="C321" s="103" t="s">
        <v>357</v>
      </c>
      <c r="D321" s="103">
        <v>213777</v>
      </c>
      <c r="E321" s="103" t="s">
        <v>487</v>
      </c>
      <c r="F321" s="18">
        <v>30</v>
      </c>
      <c r="G321" s="101">
        <v>213385</v>
      </c>
      <c r="H321" s="103" t="s">
        <v>487</v>
      </c>
      <c r="I321" s="100" t="s">
        <v>488</v>
      </c>
      <c r="J321" s="100">
        <v>1</v>
      </c>
      <c r="K321" s="104">
        <v>45113</v>
      </c>
      <c r="L321" s="100" t="s">
        <v>489</v>
      </c>
      <c r="M321" s="106">
        <v>45113.559525462966</v>
      </c>
      <c r="N321" s="100">
        <v>21</v>
      </c>
      <c r="O321" s="100">
        <v>21</v>
      </c>
      <c r="P321" s="100">
        <v>1</v>
      </c>
      <c r="Q321" s="100">
        <v>65</v>
      </c>
    </row>
    <row r="322" spans="1:17" x14ac:dyDescent="0.3">
      <c r="A322" s="100">
        <v>86</v>
      </c>
      <c r="B322" s="103" t="s">
        <v>356</v>
      </c>
      <c r="C322" s="103" t="s">
        <v>357</v>
      </c>
      <c r="D322" s="103">
        <v>213777</v>
      </c>
      <c r="E322" s="103" t="s">
        <v>244</v>
      </c>
      <c r="F322" s="18">
        <v>8</v>
      </c>
      <c r="G322" s="101">
        <v>192249</v>
      </c>
      <c r="H322" s="103" t="s">
        <v>244</v>
      </c>
      <c r="I322" s="100" t="s">
        <v>490</v>
      </c>
      <c r="J322" s="100">
        <v>1</v>
      </c>
      <c r="K322" s="104">
        <v>45113</v>
      </c>
      <c r="L322" s="100" t="s">
        <v>491</v>
      </c>
      <c r="M322" s="106">
        <v>45113.611909722225</v>
      </c>
      <c r="N322" s="100">
        <v>22</v>
      </c>
      <c r="O322" s="100">
        <v>22</v>
      </c>
      <c r="P322" s="100">
        <v>1</v>
      </c>
      <c r="Q322" s="100">
        <v>66</v>
      </c>
    </row>
    <row r="323" spans="1:17" x14ac:dyDescent="0.3">
      <c r="A323" s="100">
        <v>87</v>
      </c>
      <c r="B323" s="103" t="s">
        <v>356</v>
      </c>
      <c r="C323" s="103" t="s">
        <v>357</v>
      </c>
      <c r="D323" s="103">
        <v>213777</v>
      </c>
      <c r="E323" s="103" t="s">
        <v>244</v>
      </c>
      <c r="F323" s="18">
        <v>8</v>
      </c>
      <c r="G323" s="101">
        <v>192249</v>
      </c>
      <c r="H323" s="103" t="s">
        <v>244</v>
      </c>
      <c r="I323" s="100" t="s">
        <v>492</v>
      </c>
      <c r="J323" s="100">
        <v>2</v>
      </c>
      <c r="K323" s="104">
        <v>45113</v>
      </c>
      <c r="L323" s="100" t="s">
        <v>493</v>
      </c>
      <c r="M323" s="106">
        <v>45113.689826388887</v>
      </c>
      <c r="N323" s="100">
        <v>22</v>
      </c>
      <c r="O323" s="100">
        <v>22</v>
      </c>
      <c r="P323" s="100">
        <v>2</v>
      </c>
      <c r="Q323" s="100">
        <v>67</v>
      </c>
    </row>
    <row r="324" spans="1:17" x14ac:dyDescent="0.3">
      <c r="A324" s="100">
        <v>42</v>
      </c>
      <c r="B324" s="103" t="s">
        <v>184</v>
      </c>
      <c r="C324" s="103" t="s">
        <v>81</v>
      </c>
      <c r="D324" s="103">
        <v>213665</v>
      </c>
      <c r="E324" s="103" t="s">
        <v>244</v>
      </c>
      <c r="F324" s="18">
        <v>8</v>
      </c>
      <c r="G324" s="101">
        <v>192249</v>
      </c>
      <c r="H324" s="103" t="s">
        <v>244</v>
      </c>
      <c r="I324" s="100" t="s">
        <v>245</v>
      </c>
      <c r="J324" s="100">
        <v>4</v>
      </c>
      <c r="K324" s="104">
        <v>45114</v>
      </c>
      <c r="L324" s="100" t="s">
        <v>246</v>
      </c>
      <c r="M324" s="106">
        <v>45114.006932870368</v>
      </c>
      <c r="N324" s="100">
        <v>22</v>
      </c>
      <c r="O324" s="100">
        <v>22</v>
      </c>
      <c r="P324" s="100">
        <v>3</v>
      </c>
      <c r="Q324" s="100">
        <v>27</v>
      </c>
    </row>
    <row r="325" spans="1:17" x14ac:dyDescent="0.3">
      <c r="A325" s="100">
        <v>43</v>
      </c>
      <c r="B325" s="103" t="s">
        <v>184</v>
      </c>
      <c r="C325" s="103" t="s">
        <v>81</v>
      </c>
      <c r="D325" s="103">
        <v>213665</v>
      </c>
      <c r="E325" s="103" t="s">
        <v>244</v>
      </c>
      <c r="F325" s="18">
        <v>8</v>
      </c>
      <c r="G325" s="101">
        <v>192249</v>
      </c>
      <c r="H325" s="103" t="s">
        <v>244</v>
      </c>
      <c r="I325" s="100" t="s">
        <v>247</v>
      </c>
      <c r="J325" s="100">
        <v>0</v>
      </c>
      <c r="K325" s="104">
        <v>45114</v>
      </c>
      <c r="L325" s="100" t="s">
        <v>248</v>
      </c>
      <c r="M325" s="106">
        <v>45114.006990740738</v>
      </c>
      <c r="N325" s="100">
        <v>22</v>
      </c>
      <c r="O325" s="100">
        <v>22</v>
      </c>
      <c r="P325" s="100">
        <v>4</v>
      </c>
      <c r="Q325" s="100">
        <v>28</v>
      </c>
    </row>
    <row r="326" spans="1:17" x14ac:dyDescent="0.3">
      <c r="A326" s="100">
        <v>73</v>
      </c>
      <c r="B326" s="103" t="s">
        <v>184</v>
      </c>
      <c r="C326" s="103" t="s">
        <v>81</v>
      </c>
      <c r="D326" s="103">
        <v>213665</v>
      </c>
      <c r="E326" s="103" t="s">
        <v>244</v>
      </c>
      <c r="F326" s="18">
        <v>8</v>
      </c>
      <c r="G326" s="101">
        <v>192249</v>
      </c>
      <c r="H326" s="103" t="s">
        <v>244</v>
      </c>
      <c r="I326" s="100" t="s">
        <v>312</v>
      </c>
      <c r="J326" s="100">
        <v>2</v>
      </c>
      <c r="K326" s="104">
        <v>45114</v>
      </c>
      <c r="L326" s="100" t="s">
        <v>313</v>
      </c>
      <c r="M326" s="106">
        <v>45114.64508101852</v>
      </c>
      <c r="N326" s="100">
        <v>22</v>
      </c>
      <c r="O326" s="100">
        <v>22</v>
      </c>
      <c r="P326" s="100">
        <v>5</v>
      </c>
      <c r="Q326" s="100">
        <v>58</v>
      </c>
    </row>
    <row r="327" spans="1:17" x14ac:dyDescent="0.3">
      <c r="A327" s="100">
        <v>74</v>
      </c>
      <c r="B327" s="103" t="s">
        <v>184</v>
      </c>
      <c r="C327" s="103" t="s">
        <v>81</v>
      </c>
      <c r="D327" s="103">
        <v>213665</v>
      </c>
      <c r="E327" s="103" t="s">
        <v>244</v>
      </c>
      <c r="F327" s="18">
        <v>8</v>
      </c>
      <c r="G327" s="101">
        <v>192249</v>
      </c>
      <c r="H327" s="103" t="s">
        <v>244</v>
      </c>
      <c r="I327" s="100" t="s">
        <v>314</v>
      </c>
      <c r="J327" s="100">
        <v>0</v>
      </c>
      <c r="K327" s="104">
        <v>45114</v>
      </c>
      <c r="L327" s="100" t="s">
        <v>315</v>
      </c>
      <c r="M327" s="106">
        <v>45114.645462962966</v>
      </c>
      <c r="N327" s="100">
        <v>22</v>
      </c>
      <c r="O327" s="100">
        <v>22</v>
      </c>
      <c r="P327" s="100">
        <v>6</v>
      </c>
      <c r="Q327" s="100">
        <v>59</v>
      </c>
    </row>
    <row r="328" spans="1:17" x14ac:dyDescent="0.3">
      <c r="A328" s="100">
        <v>75</v>
      </c>
      <c r="B328" s="103" t="s">
        <v>184</v>
      </c>
      <c r="C328" s="103" t="s">
        <v>81</v>
      </c>
      <c r="D328" s="103">
        <v>213665</v>
      </c>
      <c r="E328" s="103" t="s">
        <v>244</v>
      </c>
      <c r="F328" s="18">
        <v>8</v>
      </c>
      <c r="G328" s="101">
        <v>192249</v>
      </c>
      <c r="H328" s="103" t="s">
        <v>244</v>
      </c>
      <c r="I328" s="100" t="s">
        <v>316</v>
      </c>
      <c r="J328" s="100">
        <v>1</v>
      </c>
      <c r="K328" s="104">
        <v>45114</v>
      </c>
      <c r="L328" s="100" t="s">
        <v>317</v>
      </c>
      <c r="M328" s="106">
        <v>45114.645694444444</v>
      </c>
      <c r="N328" s="100">
        <v>22</v>
      </c>
      <c r="O328" s="100">
        <v>22</v>
      </c>
      <c r="P328" s="100">
        <v>7</v>
      </c>
      <c r="Q328" s="100">
        <v>60</v>
      </c>
    </row>
    <row r="329" spans="1:17" x14ac:dyDescent="0.3">
      <c r="A329" s="100">
        <v>76</v>
      </c>
      <c r="B329" s="103" t="s">
        <v>184</v>
      </c>
      <c r="C329" s="103" t="s">
        <v>81</v>
      </c>
      <c r="D329" s="103">
        <v>213665</v>
      </c>
      <c r="E329" s="103" t="s">
        <v>244</v>
      </c>
      <c r="F329" s="18">
        <v>8</v>
      </c>
      <c r="G329" s="101">
        <v>192249</v>
      </c>
      <c r="H329" s="103" t="s">
        <v>244</v>
      </c>
      <c r="I329" s="100" t="s">
        <v>318</v>
      </c>
      <c r="J329" s="100">
        <v>1</v>
      </c>
      <c r="K329" s="104">
        <v>45114</v>
      </c>
      <c r="L329" s="100" t="s">
        <v>319</v>
      </c>
      <c r="M329" s="106">
        <v>45114.645775462966</v>
      </c>
      <c r="N329" s="100">
        <v>22</v>
      </c>
      <c r="O329" s="100">
        <v>22</v>
      </c>
      <c r="P329" s="100">
        <v>8</v>
      </c>
      <c r="Q329" s="100">
        <v>61</v>
      </c>
    </row>
    <row r="330" spans="1:17" x14ac:dyDescent="0.3">
      <c r="A330" s="100">
        <v>77</v>
      </c>
      <c r="B330" s="103" t="s">
        <v>184</v>
      </c>
      <c r="C330" s="103" t="s">
        <v>81</v>
      </c>
      <c r="D330" s="103">
        <v>213665</v>
      </c>
      <c r="E330" s="103" t="s">
        <v>244</v>
      </c>
      <c r="F330" s="18">
        <v>8</v>
      </c>
      <c r="G330" s="101">
        <v>192249</v>
      </c>
      <c r="H330" s="103" t="s">
        <v>244</v>
      </c>
      <c r="I330" s="100" t="s">
        <v>320</v>
      </c>
      <c r="J330" s="100">
        <v>0</v>
      </c>
      <c r="K330" s="104">
        <v>45114</v>
      </c>
      <c r="L330" s="100" t="s">
        <v>321</v>
      </c>
      <c r="M330" s="106">
        <v>45114.646331018521</v>
      </c>
      <c r="N330" s="100">
        <v>22</v>
      </c>
      <c r="O330" s="100">
        <v>22</v>
      </c>
      <c r="P330" s="100">
        <v>9</v>
      </c>
      <c r="Q330" s="100">
        <v>62</v>
      </c>
    </row>
    <row r="331" spans="1:17" x14ac:dyDescent="0.3">
      <c r="A331" s="100">
        <v>78</v>
      </c>
      <c r="B331" s="103" t="s">
        <v>184</v>
      </c>
      <c r="C331" s="103" t="s">
        <v>81</v>
      </c>
      <c r="D331" s="103">
        <v>213665</v>
      </c>
      <c r="E331" s="103" t="s">
        <v>244</v>
      </c>
      <c r="F331" s="18">
        <v>8</v>
      </c>
      <c r="G331" s="101">
        <v>192249</v>
      </c>
      <c r="H331" s="103" t="s">
        <v>244</v>
      </c>
      <c r="I331" s="100" t="s">
        <v>322</v>
      </c>
      <c r="J331" s="100">
        <v>0</v>
      </c>
      <c r="K331" s="104">
        <v>45114</v>
      </c>
      <c r="L331" s="100" t="s">
        <v>323</v>
      </c>
      <c r="M331" s="106">
        <v>45114.64634259259</v>
      </c>
      <c r="N331" s="100">
        <v>22</v>
      </c>
      <c r="O331" s="100">
        <v>22</v>
      </c>
      <c r="P331" s="100">
        <v>10</v>
      </c>
      <c r="Q331" s="100">
        <v>63</v>
      </c>
    </row>
    <row r="332" spans="1:17" x14ac:dyDescent="0.3">
      <c r="A332" s="100">
        <v>79</v>
      </c>
      <c r="B332" s="103" t="s">
        <v>184</v>
      </c>
      <c r="C332" s="103" t="s">
        <v>81</v>
      </c>
      <c r="D332" s="103">
        <v>213665</v>
      </c>
      <c r="E332" s="103" t="s">
        <v>244</v>
      </c>
      <c r="F332" s="18">
        <v>8</v>
      </c>
      <c r="G332" s="101">
        <v>192249</v>
      </c>
      <c r="H332" s="103" t="s">
        <v>244</v>
      </c>
      <c r="I332" s="100" t="s">
        <v>324</v>
      </c>
      <c r="J332" s="100">
        <v>2</v>
      </c>
      <c r="K332" s="104">
        <v>45114</v>
      </c>
      <c r="L332" s="100" t="s">
        <v>325</v>
      </c>
      <c r="M332" s="106">
        <v>45114.646782407406</v>
      </c>
      <c r="N332" s="100">
        <v>22</v>
      </c>
      <c r="O332" s="100">
        <v>22</v>
      </c>
      <c r="P332" s="100">
        <v>11</v>
      </c>
      <c r="Q332" s="100">
        <v>64</v>
      </c>
    </row>
    <row r="333" spans="1:17" x14ac:dyDescent="0.3">
      <c r="A333" s="100">
        <v>80</v>
      </c>
      <c r="B333" s="103" t="s">
        <v>184</v>
      </c>
      <c r="C333" s="103" t="s">
        <v>81</v>
      </c>
      <c r="D333" s="103">
        <v>213665</v>
      </c>
      <c r="E333" s="103" t="s">
        <v>244</v>
      </c>
      <c r="F333" s="18">
        <v>8</v>
      </c>
      <c r="G333" s="101">
        <v>192249</v>
      </c>
      <c r="H333" s="103" t="s">
        <v>244</v>
      </c>
      <c r="I333" s="100" t="s">
        <v>326</v>
      </c>
      <c r="J333" s="100">
        <v>2</v>
      </c>
      <c r="K333" s="104">
        <v>45114</v>
      </c>
      <c r="L333" s="100" t="s">
        <v>327</v>
      </c>
      <c r="M333" s="106">
        <v>45114.646990740737</v>
      </c>
      <c r="N333" s="100">
        <v>22</v>
      </c>
      <c r="O333" s="100">
        <v>22</v>
      </c>
      <c r="P333" s="100">
        <v>12</v>
      </c>
      <c r="Q333" s="100">
        <v>65</v>
      </c>
    </row>
    <row r="334" spans="1:17" x14ac:dyDescent="0.3">
      <c r="A334" s="100">
        <v>81</v>
      </c>
      <c r="B334" s="103" t="s">
        <v>184</v>
      </c>
      <c r="C334" s="103" t="s">
        <v>81</v>
      </c>
      <c r="D334" s="103">
        <v>213665</v>
      </c>
      <c r="E334" s="103" t="s">
        <v>244</v>
      </c>
      <c r="F334" s="18">
        <v>8</v>
      </c>
      <c r="G334" s="101">
        <v>192249</v>
      </c>
      <c r="H334" s="103" t="s">
        <v>244</v>
      </c>
      <c r="I334" s="100" t="s">
        <v>328</v>
      </c>
      <c r="J334" s="100">
        <v>0</v>
      </c>
      <c r="K334" s="104">
        <v>45114</v>
      </c>
      <c r="L334" s="100" t="s">
        <v>329</v>
      </c>
      <c r="M334" s="106">
        <v>45114.647256944445</v>
      </c>
      <c r="N334" s="100">
        <v>22</v>
      </c>
      <c r="O334" s="100">
        <v>22</v>
      </c>
      <c r="P334" s="100">
        <v>13</v>
      </c>
      <c r="Q334" s="100">
        <v>66</v>
      </c>
    </row>
    <row r="335" spans="1:17" x14ac:dyDescent="0.3">
      <c r="A335" s="100">
        <v>82</v>
      </c>
      <c r="B335" s="103" t="s">
        <v>184</v>
      </c>
      <c r="C335" s="103" t="s">
        <v>81</v>
      </c>
      <c r="D335" s="103">
        <v>213665</v>
      </c>
      <c r="E335" s="103" t="s">
        <v>244</v>
      </c>
      <c r="F335" s="18">
        <v>8</v>
      </c>
      <c r="G335" s="101">
        <v>192249</v>
      </c>
      <c r="H335" s="103" t="s">
        <v>244</v>
      </c>
      <c r="I335" s="100" t="s">
        <v>330</v>
      </c>
      <c r="J335" s="100">
        <v>1</v>
      </c>
      <c r="K335" s="104">
        <v>45114</v>
      </c>
      <c r="L335" s="100" t="s">
        <v>331</v>
      </c>
      <c r="M335" s="106">
        <v>45114.647673611114</v>
      </c>
      <c r="N335" s="100">
        <v>22</v>
      </c>
      <c r="O335" s="100">
        <v>22</v>
      </c>
      <c r="P335" s="100">
        <v>14</v>
      </c>
      <c r="Q335" s="100">
        <v>67</v>
      </c>
    </row>
    <row r="336" spans="1:17" x14ac:dyDescent="0.3">
      <c r="A336" s="100">
        <v>83</v>
      </c>
      <c r="B336" s="103" t="s">
        <v>184</v>
      </c>
      <c r="C336" s="103" t="s">
        <v>81</v>
      </c>
      <c r="D336" s="103">
        <v>213665</v>
      </c>
      <c r="E336" s="103" t="s">
        <v>244</v>
      </c>
      <c r="F336" s="18">
        <v>8</v>
      </c>
      <c r="G336" s="101">
        <v>192249</v>
      </c>
      <c r="H336" s="103" t="s">
        <v>244</v>
      </c>
      <c r="I336" s="100" t="s">
        <v>332</v>
      </c>
      <c r="J336" s="100">
        <v>2</v>
      </c>
      <c r="K336" s="104">
        <v>45114</v>
      </c>
      <c r="L336" s="100" t="s">
        <v>333</v>
      </c>
      <c r="M336" s="106">
        <v>45114.647696759261</v>
      </c>
      <c r="N336" s="100">
        <v>22</v>
      </c>
      <c r="O336" s="100">
        <v>22</v>
      </c>
      <c r="P336" s="100">
        <v>15</v>
      </c>
      <c r="Q336" s="100">
        <v>68</v>
      </c>
    </row>
    <row r="337" spans="1:17" x14ac:dyDescent="0.3">
      <c r="A337" s="100">
        <v>84</v>
      </c>
      <c r="B337" s="103" t="s">
        <v>184</v>
      </c>
      <c r="C337" s="103" t="s">
        <v>81</v>
      </c>
      <c r="D337" s="103">
        <v>213665</v>
      </c>
      <c r="E337" s="103" t="s">
        <v>244</v>
      </c>
      <c r="F337" s="18">
        <v>8</v>
      </c>
      <c r="G337" s="101">
        <v>192249</v>
      </c>
      <c r="H337" s="103" t="s">
        <v>244</v>
      </c>
      <c r="I337" s="100" t="s">
        <v>334</v>
      </c>
      <c r="J337" s="100">
        <v>2</v>
      </c>
      <c r="K337" s="104">
        <v>45114</v>
      </c>
      <c r="L337" s="100" t="s">
        <v>335</v>
      </c>
      <c r="M337" s="106">
        <v>45114.647881944446</v>
      </c>
      <c r="N337" s="100">
        <v>22</v>
      </c>
      <c r="O337" s="100">
        <v>22</v>
      </c>
      <c r="P337" s="100">
        <v>16</v>
      </c>
      <c r="Q337" s="100">
        <v>69</v>
      </c>
    </row>
    <row r="338" spans="1:17" x14ac:dyDescent="0.3">
      <c r="A338" s="100">
        <v>85</v>
      </c>
      <c r="B338" s="103" t="s">
        <v>184</v>
      </c>
      <c r="C338" s="103" t="s">
        <v>81</v>
      </c>
      <c r="D338" s="103">
        <v>213665</v>
      </c>
      <c r="E338" s="103" t="s">
        <v>244</v>
      </c>
      <c r="F338" s="18">
        <v>8</v>
      </c>
      <c r="G338" s="101">
        <v>192249</v>
      </c>
      <c r="H338" s="103" t="s">
        <v>244</v>
      </c>
      <c r="I338" s="100" t="s">
        <v>336</v>
      </c>
      <c r="J338" s="100">
        <v>2</v>
      </c>
      <c r="K338" s="104">
        <v>45114</v>
      </c>
      <c r="L338" s="100" t="s">
        <v>337</v>
      </c>
      <c r="M338" s="106">
        <v>45114.648321759261</v>
      </c>
      <c r="N338" s="100">
        <v>22</v>
      </c>
      <c r="O338" s="100">
        <v>22</v>
      </c>
      <c r="P338" s="100">
        <v>17</v>
      </c>
      <c r="Q338" s="100">
        <v>70</v>
      </c>
    </row>
    <row r="339" spans="1:17" x14ac:dyDescent="0.3">
      <c r="A339" s="100">
        <v>86</v>
      </c>
      <c r="B339" s="103" t="s">
        <v>184</v>
      </c>
      <c r="C339" s="103" t="s">
        <v>81</v>
      </c>
      <c r="D339" s="103">
        <v>213665</v>
      </c>
      <c r="E339" s="103" t="s">
        <v>244</v>
      </c>
      <c r="F339" s="18">
        <v>8</v>
      </c>
      <c r="G339" s="101">
        <v>192249</v>
      </c>
      <c r="H339" s="103" t="s">
        <v>244</v>
      </c>
      <c r="I339" s="100" t="s">
        <v>338</v>
      </c>
      <c r="J339" s="100">
        <v>2</v>
      </c>
      <c r="K339" s="104">
        <v>45114</v>
      </c>
      <c r="L339" s="100" t="s">
        <v>339</v>
      </c>
      <c r="M339" s="106">
        <v>45114.6484837963</v>
      </c>
      <c r="N339" s="100">
        <v>22</v>
      </c>
      <c r="O339" s="100">
        <v>22</v>
      </c>
      <c r="P339" s="100">
        <v>18</v>
      </c>
      <c r="Q339" s="100">
        <v>71</v>
      </c>
    </row>
    <row r="340" spans="1:17" x14ac:dyDescent="0.3">
      <c r="A340" s="100">
        <v>87</v>
      </c>
      <c r="B340" s="103" t="s">
        <v>184</v>
      </c>
      <c r="C340" s="103" t="s">
        <v>81</v>
      </c>
      <c r="D340" s="103">
        <v>213665</v>
      </c>
      <c r="E340" s="103" t="s">
        <v>244</v>
      </c>
      <c r="F340" s="18">
        <v>8</v>
      </c>
      <c r="G340" s="101">
        <v>192249</v>
      </c>
      <c r="H340" s="103" t="s">
        <v>244</v>
      </c>
      <c r="I340" s="100" t="s">
        <v>340</v>
      </c>
      <c r="J340" s="100">
        <v>1</v>
      </c>
      <c r="K340" s="104">
        <v>45114</v>
      </c>
      <c r="L340" s="100" t="s">
        <v>341</v>
      </c>
      <c r="M340" s="106">
        <v>45114.649189814816</v>
      </c>
      <c r="N340" s="100">
        <v>22</v>
      </c>
      <c r="O340" s="100">
        <v>22</v>
      </c>
      <c r="P340" s="100">
        <v>19</v>
      </c>
      <c r="Q340" s="100">
        <v>72</v>
      </c>
    </row>
    <row r="341" spans="1:17" x14ac:dyDescent="0.3">
      <c r="A341" s="100">
        <v>88</v>
      </c>
      <c r="B341" s="103" t="s">
        <v>184</v>
      </c>
      <c r="C341" s="103" t="s">
        <v>81</v>
      </c>
      <c r="D341" s="103">
        <v>213665</v>
      </c>
      <c r="E341" s="103" t="s">
        <v>244</v>
      </c>
      <c r="F341" s="18">
        <v>8</v>
      </c>
      <c r="G341" s="101">
        <v>192249</v>
      </c>
      <c r="H341" s="103" t="s">
        <v>244</v>
      </c>
      <c r="I341" s="100" t="s">
        <v>342</v>
      </c>
      <c r="J341" s="100">
        <v>3</v>
      </c>
      <c r="K341" s="104">
        <v>45114</v>
      </c>
      <c r="L341" s="100" t="s">
        <v>343</v>
      </c>
      <c r="M341" s="106">
        <v>45114.649270833332</v>
      </c>
      <c r="N341" s="100">
        <v>22</v>
      </c>
      <c r="O341" s="100">
        <v>22</v>
      </c>
      <c r="P341" s="100">
        <v>20</v>
      </c>
      <c r="Q341" s="100">
        <v>73</v>
      </c>
    </row>
    <row r="342" spans="1:17" x14ac:dyDescent="0.3">
      <c r="A342" s="100">
        <v>181</v>
      </c>
      <c r="B342" s="103" t="s">
        <v>596</v>
      </c>
      <c r="C342" s="103" t="s">
        <v>597</v>
      </c>
      <c r="D342" s="103">
        <v>213711</v>
      </c>
      <c r="E342" s="103" t="s">
        <v>934</v>
      </c>
      <c r="F342" s="18">
        <v>16</v>
      </c>
      <c r="G342" s="101">
        <v>202242</v>
      </c>
      <c r="H342" s="103" t="s">
        <v>934</v>
      </c>
      <c r="I342" s="100" t="s">
        <v>935</v>
      </c>
      <c r="J342" s="100">
        <v>1</v>
      </c>
      <c r="K342" s="104">
        <v>45113</v>
      </c>
      <c r="L342" s="100" t="s">
        <v>936</v>
      </c>
      <c r="M342" s="106">
        <v>45113.682060185187</v>
      </c>
      <c r="N342" s="100">
        <v>23</v>
      </c>
      <c r="O342" s="100">
        <v>23</v>
      </c>
      <c r="P342" s="100">
        <v>1</v>
      </c>
      <c r="Q342" s="100">
        <v>165</v>
      </c>
    </row>
    <row r="343" spans="1:17" x14ac:dyDescent="0.3">
      <c r="A343" s="100">
        <v>182</v>
      </c>
      <c r="B343" s="103" t="s">
        <v>596</v>
      </c>
      <c r="C343" s="103" t="s">
        <v>597</v>
      </c>
      <c r="D343" s="103">
        <v>213711</v>
      </c>
      <c r="E343" s="103" t="s">
        <v>934</v>
      </c>
      <c r="F343" s="18">
        <v>16</v>
      </c>
      <c r="G343" s="101">
        <v>202242</v>
      </c>
      <c r="H343" s="103" t="s">
        <v>934</v>
      </c>
      <c r="I343" s="100" t="s">
        <v>937</v>
      </c>
      <c r="J343" s="100">
        <v>1</v>
      </c>
      <c r="K343" s="104">
        <v>45113</v>
      </c>
      <c r="L343" s="100" t="s">
        <v>938</v>
      </c>
      <c r="M343" s="106">
        <v>45113.682314814818</v>
      </c>
      <c r="N343" s="100">
        <v>23</v>
      </c>
      <c r="O343" s="100">
        <v>23</v>
      </c>
      <c r="P343" s="100">
        <v>2</v>
      </c>
      <c r="Q343" s="100">
        <v>166</v>
      </c>
    </row>
    <row r="344" spans="1:17" x14ac:dyDescent="0.3">
      <c r="A344" s="100">
        <v>187</v>
      </c>
      <c r="B344" s="103" t="s">
        <v>596</v>
      </c>
      <c r="C344" s="103" t="s">
        <v>597</v>
      </c>
      <c r="D344" s="103">
        <v>213711</v>
      </c>
      <c r="E344" s="103" t="s">
        <v>934</v>
      </c>
      <c r="F344" s="18">
        <v>16</v>
      </c>
      <c r="G344" s="101">
        <v>202242</v>
      </c>
      <c r="H344" s="103" t="s">
        <v>934</v>
      </c>
      <c r="I344" s="100" t="s">
        <v>947</v>
      </c>
      <c r="J344" s="100">
        <v>3</v>
      </c>
      <c r="K344" s="104">
        <v>45113</v>
      </c>
      <c r="L344" s="100" t="s">
        <v>948</v>
      </c>
      <c r="M344" s="106">
        <v>45113.688935185186</v>
      </c>
      <c r="N344" s="100">
        <v>23</v>
      </c>
      <c r="O344" s="100">
        <v>23</v>
      </c>
      <c r="P344" s="100">
        <v>3</v>
      </c>
      <c r="Q344" s="100">
        <v>171</v>
      </c>
    </row>
    <row r="345" spans="1:17" x14ac:dyDescent="0.3">
      <c r="A345" s="100">
        <v>188</v>
      </c>
      <c r="B345" s="103" t="s">
        <v>596</v>
      </c>
      <c r="C345" s="103" t="s">
        <v>597</v>
      </c>
      <c r="D345" s="103">
        <v>213711</v>
      </c>
      <c r="E345" s="103" t="s">
        <v>934</v>
      </c>
      <c r="F345" s="18">
        <v>16</v>
      </c>
      <c r="G345" s="101">
        <v>202242</v>
      </c>
      <c r="H345" s="103" t="s">
        <v>934</v>
      </c>
      <c r="I345" s="100" t="s">
        <v>949</v>
      </c>
      <c r="J345" s="100">
        <v>1</v>
      </c>
      <c r="K345" s="104">
        <v>45113</v>
      </c>
      <c r="L345" s="100" t="s">
        <v>950</v>
      </c>
      <c r="M345" s="106">
        <v>45113.689143518517</v>
      </c>
      <c r="N345" s="100">
        <v>23</v>
      </c>
      <c r="O345" s="100">
        <v>23</v>
      </c>
      <c r="P345" s="100">
        <v>4</v>
      </c>
      <c r="Q345" s="100">
        <v>172</v>
      </c>
    </row>
    <row r="346" spans="1:17" x14ac:dyDescent="0.3">
      <c r="A346" s="100">
        <v>189</v>
      </c>
      <c r="B346" s="103" t="s">
        <v>596</v>
      </c>
      <c r="C346" s="103" t="s">
        <v>597</v>
      </c>
      <c r="D346" s="103">
        <v>213711</v>
      </c>
      <c r="E346" s="103" t="s">
        <v>934</v>
      </c>
      <c r="F346" s="18">
        <v>16</v>
      </c>
      <c r="G346" s="101">
        <v>202242</v>
      </c>
      <c r="H346" s="103" t="s">
        <v>934</v>
      </c>
      <c r="I346" s="100" t="s">
        <v>951</v>
      </c>
      <c r="J346" s="100">
        <v>1</v>
      </c>
      <c r="K346" s="104">
        <v>45113</v>
      </c>
      <c r="L346" s="100" t="s">
        <v>952</v>
      </c>
      <c r="M346" s="106">
        <v>45113.689363425925</v>
      </c>
      <c r="N346" s="100">
        <v>23</v>
      </c>
      <c r="O346" s="100">
        <v>23</v>
      </c>
      <c r="P346" s="100">
        <v>5</v>
      </c>
      <c r="Q346" s="100">
        <v>173</v>
      </c>
    </row>
    <row r="347" spans="1:17" x14ac:dyDescent="0.3">
      <c r="A347" s="100">
        <v>191</v>
      </c>
      <c r="B347" s="103" t="s">
        <v>596</v>
      </c>
      <c r="C347" s="103" t="s">
        <v>597</v>
      </c>
      <c r="D347" s="103">
        <v>213711</v>
      </c>
      <c r="E347" s="103" t="s">
        <v>934</v>
      </c>
      <c r="F347" s="18">
        <v>16</v>
      </c>
      <c r="G347" s="101">
        <v>202242</v>
      </c>
      <c r="H347" s="103" t="s">
        <v>934</v>
      </c>
      <c r="I347" s="100" t="s">
        <v>955</v>
      </c>
      <c r="J347" s="100">
        <v>1</v>
      </c>
      <c r="K347" s="104">
        <v>45113</v>
      </c>
      <c r="L347" s="100" t="s">
        <v>956</v>
      </c>
      <c r="M347" s="106">
        <v>45113.709699074076</v>
      </c>
      <c r="N347" s="100">
        <v>23</v>
      </c>
      <c r="O347" s="100">
        <v>23</v>
      </c>
      <c r="P347" s="100">
        <v>6</v>
      </c>
      <c r="Q347" s="100">
        <v>175</v>
      </c>
    </row>
    <row r="348" spans="1:17" x14ac:dyDescent="0.3">
      <c r="A348" s="100">
        <v>192</v>
      </c>
      <c r="B348" s="103" t="s">
        <v>596</v>
      </c>
      <c r="C348" s="103" t="s">
        <v>597</v>
      </c>
      <c r="D348" s="103">
        <v>213711</v>
      </c>
      <c r="E348" s="103" t="s">
        <v>934</v>
      </c>
      <c r="F348" s="18">
        <v>16</v>
      </c>
      <c r="G348" s="101">
        <v>202242</v>
      </c>
      <c r="H348" s="103" t="s">
        <v>934</v>
      </c>
      <c r="I348" s="100" t="s">
        <v>957</v>
      </c>
      <c r="J348" s="100">
        <v>2</v>
      </c>
      <c r="K348" s="104">
        <v>45113</v>
      </c>
      <c r="L348" s="100" t="s">
        <v>958</v>
      </c>
      <c r="M348" s="106">
        <v>45113.837546296294</v>
      </c>
      <c r="N348" s="100">
        <v>23</v>
      </c>
      <c r="O348" s="100">
        <v>23</v>
      </c>
      <c r="P348" s="100">
        <v>7</v>
      </c>
      <c r="Q348" s="100">
        <v>176</v>
      </c>
    </row>
    <row r="349" spans="1:17" x14ac:dyDescent="0.3">
      <c r="A349" s="100">
        <v>210</v>
      </c>
      <c r="B349" s="103" t="s">
        <v>596</v>
      </c>
      <c r="C349" s="103" t="s">
        <v>597</v>
      </c>
      <c r="D349" s="103">
        <v>213711</v>
      </c>
      <c r="E349" s="103" t="s">
        <v>934</v>
      </c>
      <c r="F349" s="18">
        <v>16</v>
      </c>
      <c r="G349" s="101">
        <v>202242</v>
      </c>
      <c r="H349" s="103" t="s">
        <v>934</v>
      </c>
      <c r="I349" s="100" t="s">
        <v>993</v>
      </c>
      <c r="J349" s="100">
        <v>3</v>
      </c>
      <c r="K349" s="104">
        <v>45113</v>
      </c>
      <c r="L349" s="100" t="s">
        <v>994</v>
      </c>
      <c r="M349" s="106">
        <v>45113.908182870371</v>
      </c>
      <c r="N349" s="100">
        <v>23</v>
      </c>
      <c r="O349" s="100">
        <v>23</v>
      </c>
      <c r="P349" s="100">
        <v>8</v>
      </c>
      <c r="Q349" s="100">
        <v>194</v>
      </c>
    </row>
    <row r="350" spans="1:17" x14ac:dyDescent="0.3">
      <c r="A350" s="100">
        <v>211</v>
      </c>
      <c r="B350" s="103" t="s">
        <v>596</v>
      </c>
      <c r="C350" s="103" t="s">
        <v>597</v>
      </c>
      <c r="D350" s="103">
        <v>213711</v>
      </c>
      <c r="E350" s="103" t="s">
        <v>934</v>
      </c>
      <c r="F350" s="18">
        <v>16</v>
      </c>
      <c r="G350" s="101">
        <v>202242</v>
      </c>
      <c r="H350" s="103" t="s">
        <v>934</v>
      </c>
      <c r="I350" s="100" t="s">
        <v>995</v>
      </c>
      <c r="J350" s="100">
        <v>0</v>
      </c>
      <c r="K350" s="104">
        <v>45113</v>
      </c>
      <c r="L350" s="100" t="s">
        <v>996</v>
      </c>
      <c r="M350" s="106">
        <v>45113.908368055556</v>
      </c>
      <c r="N350" s="100">
        <v>23</v>
      </c>
      <c r="O350" s="100">
        <v>23</v>
      </c>
      <c r="P350" s="100">
        <v>9</v>
      </c>
      <c r="Q350" s="100">
        <v>195</v>
      </c>
    </row>
    <row r="351" spans="1:17" x14ac:dyDescent="0.3">
      <c r="A351" s="100">
        <v>212</v>
      </c>
      <c r="B351" s="103" t="s">
        <v>596</v>
      </c>
      <c r="C351" s="103" t="s">
        <v>597</v>
      </c>
      <c r="D351" s="103">
        <v>213711</v>
      </c>
      <c r="E351" s="103" t="s">
        <v>934</v>
      </c>
      <c r="F351" s="18">
        <v>16</v>
      </c>
      <c r="G351" s="101">
        <v>202242</v>
      </c>
      <c r="H351" s="103" t="s">
        <v>934</v>
      </c>
      <c r="I351" s="100" t="s">
        <v>997</v>
      </c>
      <c r="J351" s="100">
        <v>4</v>
      </c>
      <c r="K351" s="104">
        <v>45114</v>
      </c>
      <c r="L351" s="100" t="s">
        <v>998</v>
      </c>
      <c r="M351" s="106">
        <v>45114.277708333335</v>
      </c>
      <c r="N351" s="100">
        <v>23</v>
      </c>
      <c r="O351" s="100">
        <v>23</v>
      </c>
      <c r="P351" s="100">
        <v>10</v>
      </c>
      <c r="Q351" s="100">
        <v>196</v>
      </c>
    </row>
    <row r="352" spans="1:17" x14ac:dyDescent="0.3">
      <c r="A352" s="100">
        <v>213</v>
      </c>
      <c r="B352" s="103" t="s">
        <v>596</v>
      </c>
      <c r="C352" s="103" t="s">
        <v>597</v>
      </c>
      <c r="D352" s="103">
        <v>213711</v>
      </c>
      <c r="E352" s="103" t="s">
        <v>934</v>
      </c>
      <c r="F352" s="18">
        <v>16</v>
      </c>
      <c r="G352" s="101">
        <v>202242</v>
      </c>
      <c r="H352" s="103" t="s">
        <v>934</v>
      </c>
      <c r="I352" s="100" t="s">
        <v>999</v>
      </c>
      <c r="J352" s="100">
        <v>2</v>
      </c>
      <c r="K352" s="104">
        <v>45114</v>
      </c>
      <c r="L352" s="100" t="s">
        <v>1000</v>
      </c>
      <c r="M352" s="106">
        <v>45114.279768518521</v>
      </c>
      <c r="N352" s="100">
        <v>23</v>
      </c>
      <c r="O352" s="100">
        <v>23</v>
      </c>
      <c r="P352" s="100">
        <v>11</v>
      </c>
      <c r="Q352" s="100">
        <v>197</v>
      </c>
    </row>
    <row r="353" spans="1:17" x14ac:dyDescent="0.3">
      <c r="A353" s="100">
        <v>214</v>
      </c>
      <c r="B353" s="103" t="s">
        <v>596</v>
      </c>
      <c r="C353" s="103" t="s">
        <v>597</v>
      </c>
      <c r="D353" s="103">
        <v>213711</v>
      </c>
      <c r="E353" s="103" t="s">
        <v>934</v>
      </c>
      <c r="F353" s="18">
        <v>16</v>
      </c>
      <c r="G353" s="101">
        <v>202242</v>
      </c>
      <c r="H353" s="103" t="s">
        <v>934</v>
      </c>
      <c r="I353" s="100" t="s">
        <v>1001</v>
      </c>
      <c r="J353" s="100">
        <v>2</v>
      </c>
      <c r="K353" s="104">
        <v>45114</v>
      </c>
      <c r="L353" s="100" t="s">
        <v>1002</v>
      </c>
      <c r="M353" s="106">
        <v>45114.279918981483</v>
      </c>
      <c r="N353" s="100">
        <v>23</v>
      </c>
      <c r="O353" s="100">
        <v>23</v>
      </c>
      <c r="P353" s="100">
        <v>12</v>
      </c>
      <c r="Q353" s="100">
        <v>198</v>
      </c>
    </row>
    <row r="354" spans="1:17" x14ac:dyDescent="0.3">
      <c r="A354" s="100">
        <v>215</v>
      </c>
      <c r="B354" s="103" t="s">
        <v>596</v>
      </c>
      <c r="C354" s="103" t="s">
        <v>597</v>
      </c>
      <c r="D354" s="103">
        <v>213711</v>
      </c>
      <c r="E354" s="103" t="s">
        <v>934</v>
      </c>
      <c r="F354" s="18">
        <v>16</v>
      </c>
      <c r="G354" s="101">
        <v>202242</v>
      </c>
      <c r="H354" s="103" t="s">
        <v>934</v>
      </c>
      <c r="I354" s="100" t="s">
        <v>1003</v>
      </c>
      <c r="J354" s="100">
        <v>1</v>
      </c>
      <c r="K354" s="104">
        <v>45114</v>
      </c>
      <c r="L354" s="100" t="s">
        <v>1004</v>
      </c>
      <c r="M354" s="106">
        <v>45114.280185185184</v>
      </c>
      <c r="N354" s="100">
        <v>23</v>
      </c>
      <c r="O354" s="100">
        <v>23</v>
      </c>
      <c r="P354" s="100">
        <v>13</v>
      </c>
      <c r="Q354" s="100">
        <v>199</v>
      </c>
    </row>
    <row r="355" spans="1:17" x14ac:dyDescent="0.3">
      <c r="A355" s="100">
        <v>216</v>
      </c>
      <c r="B355" s="103" t="s">
        <v>596</v>
      </c>
      <c r="C355" s="103" t="s">
        <v>597</v>
      </c>
      <c r="D355" s="103">
        <v>213711</v>
      </c>
      <c r="E355" s="103" t="s">
        <v>934</v>
      </c>
      <c r="F355" s="18">
        <v>16</v>
      </c>
      <c r="G355" s="101">
        <v>202242</v>
      </c>
      <c r="H355" s="103" t="s">
        <v>934</v>
      </c>
      <c r="I355" s="100" t="s">
        <v>1005</v>
      </c>
      <c r="J355" s="100">
        <v>3</v>
      </c>
      <c r="K355" s="104">
        <v>45114</v>
      </c>
      <c r="L355" s="100" t="s">
        <v>1006</v>
      </c>
      <c r="M355" s="106">
        <v>45114.2809375</v>
      </c>
      <c r="N355" s="100">
        <v>23</v>
      </c>
      <c r="O355" s="100">
        <v>23</v>
      </c>
      <c r="P355" s="100">
        <v>14</v>
      </c>
      <c r="Q355" s="100">
        <v>200</v>
      </c>
    </row>
    <row r="356" spans="1:17" x14ac:dyDescent="0.3">
      <c r="A356" s="100">
        <v>88</v>
      </c>
      <c r="B356" s="103" t="s">
        <v>356</v>
      </c>
      <c r="C356" s="103" t="s">
        <v>357</v>
      </c>
      <c r="D356" s="103">
        <v>213777</v>
      </c>
      <c r="E356" s="103" t="s">
        <v>350</v>
      </c>
      <c r="F356" s="18">
        <v>25</v>
      </c>
      <c r="G356" s="101">
        <v>213254</v>
      </c>
      <c r="H356" s="103" t="s">
        <v>350</v>
      </c>
      <c r="I356" s="100" t="s">
        <v>494</v>
      </c>
      <c r="J356" s="100">
        <v>1</v>
      </c>
      <c r="K356" s="104">
        <v>45113</v>
      </c>
      <c r="L356" s="100" t="s">
        <v>495</v>
      </c>
      <c r="M356" s="106">
        <v>45113.696261574078</v>
      </c>
      <c r="N356" s="100">
        <v>24</v>
      </c>
      <c r="O356" s="100">
        <v>24</v>
      </c>
      <c r="P356" s="100">
        <v>1</v>
      </c>
      <c r="Q356" s="100">
        <v>68</v>
      </c>
    </row>
    <row r="357" spans="1:17" x14ac:dyDescent="0.3">
      <c r="A357" s="100">
        <v>89</v>
      </c>
      <c r="B357" s="103" t="s">
        <v>356</v>
      </c>
      <c r="C357" s="103" t="s">
        <v>357</v>
      </c>
      <c r="D357" s="103">
        <v>213777</v>
      </c>
      <c r="E357" s="103" t="s">
        <v>350</v>
      </c>
      <c r="F357" s="18">
        <v>25</v>
      </c>
      <c r="G357" s="101">
        <v>213254</v>
      </c>
      <c r="H357" s="103" t="s">
        <v>350</v>
      </c>
      <c r="I357" s="100" t="s">
        <v>496</v>
      </c>
      <c r="J357" s="100">
        <v>1</v>
      </c>
      <c r="K357" s="104">
        <v>45113</v>
      </c>
      <c r="L357" s="100" t="s">
        <v>497</v>
      </c>
      <c r="M357" s="106">
        <v>45113.709143518521</v>
      </c>
      <c r="N357" s="100">
        <v>24</v>
      </c>
      <c r="O357" s="100">
        <v>24</v>
      </c>
      <c r="P357" s="100">
        <v>2</v>
      </c>
      <c r="Q357" s="100">
        <v>69</v>
      </c>
    </row>
    <row r="358" spans="1:17" x14ac:dyDescent="0.3">
      <c r="A358" s="100">
        <v>90</v>
      </c>
      <c r="B358" s="103" t="s">
        <v>356</v>
      </c>
      <c r="C358" s="103" t="s">
        <v>357</v>
      </c>
      <c r="D358" s="103">
        <v>213777</v>
      </c>
      <c r="E358" s="103" t="s">
        <v>350</v>
      </c>
      <c r="F358" s="18">
        <v>25</v>
      </c>
      <c r="G358" s="101">
        <v>213254</v>
      </c>
      <c r="H358" s="103" t="s">
        <v>350</v>
      </c>
      <c r="I358" s="100" t="s">
        <v>498</v>
      </c>
      <c r="J358" s="100">
        <v>1</v>
      </c>
      <c r="K358" s="104">
        <v>45113</v>
      </c>
      <c r="L358" s="100" t="s">
        <v>499</v>
      </c>
      <c r="M358" s="106">
        <v>45113.736296296294</v>
      </c>
      <c r="N358" s="100">
        <v>24</v>
      </c>
      <c r="O358" s="100">
        <v>24</v>
      </c>
      <c r="P358" s="100">
        <v>3</v>
      </c>
      <c r="Q358" s="100">
        <v>70</v>
      </c>
    </row>
    <row r="359" spans="1:17" x14ac:dyDescent="0.3">
      <c r="A359" s="100">
        <v>91</v>
      </c>
      <c r="B359" s="103" t="s">
        <v>356</v>
      </c>
      <c r="C359" s="103" t="s">
        <v>357</v>
      </c>
      <c r="D359" s="103">
        <v>213777</v>
      </c>
      <c r="E359" s="103" t="s">
        <v>350</v>
      </c>
      <c r="F359" s="18">
        <v>25</v>
      </c>
      <c r="G359" s="101">
        <v>213254</v>
      </c>
      <c r="H359" s="103" t="s">
        <v>350</v>
      </c>
      <c r="I359" s="100" t="s">
        <v>500</v>
      </c>
      <c r="J359" s="100">
        <v>0</v>
      </c>
      <c r="K359" s="104">
        <v>45113</v>
      </c>
      <c r="L359" s="100" t="s">
        <v>501</v>
      </c>
      <c r="M359" s="106">
        <v>45113.736863425926</v>
      </c>
      <c r="N359" s="100">
        <v>24</v>
      </c>
      <c r="O359" s="100">
        <v>24</v>
      </c>
      <c r="P359" s="100">
        <v>4</v>
      </c>
      <c r="Q359" s="100">
        <v>71</v>
      </c>
    </row>
    <row r="360" spans="1:17" x14ac:dyDescent="0.3">
      <c r="A360" s="100">
        <v>92</v>
      </c>
      <c r="B360" s="103" t="s">
        <v>356</v>
      </c>
      <c r="C360" s="103" t="s">
        <v>357</v>
      </c>
      <c r="D360" s="103">
        <v>213777</v>
      </c>
      <c r="E360" s="103" t="s">
        <v>350</v>
      </c>
      <c r="F360" s="18">
        <v>25</v>
      </c>
      <c r="G360" s="101">
        <v>213254</v>
      </c>
      <c r="H360" s="103" t="s">
        <v>350</v>
      </c>
      <c r="I360" s="100" t="s">
        <v>502</v>
      </c>
      <c r="J360" s="100">
        <v>1</v>
      </c>
      <c r="K360" s="104">
        <v>45113</v>
      </c>
      <c r="L360" s="100" t="s">
        <v>503</v>
      </c>
      <c r="M360" s="106">
        <v>45113.738125000003</v>
      </c>
      <c r="N360" s="100">
        <v>24</v>
      </c>
      <c r="O360" s="100">
        <v>24</v>
      </c>
      <c r="P360" s="100">
        <v>5</v>
      </c>
      <c r="Q360" s="100">
        <v>72</v>
      </c>
    </row>
    <row r="361" spans="1:17" x14ac:dyDescent="0.3">
      <c r="A361" s="100">
        <v>93</v>
      </c>
      <c r="B361" s="103" t="s">
        <v>356</v>
      </c>
      <c r="C361" s="103" t="s">
        <v>357</v>
      </c>
      <c r="D361" s="103">
        <v>213777</v>
      </c>
      <c r="E361" s="103" t="s">
        <v>350</v>
      </c>
      <c r="F361" s="18">
        <v>25</v>
      </c>
      <c r="G361" s="101">
        <v>213254</v>
      </c>
      <c r="H361" s="103" t="s">
        <v>350</v>
      </c>
      <c r="I361" s="100" t="s">
        <v>504</v>
      </c>
      <c r="J361" s="100">
        <v>1</v>
      </c>
      <c r="K361" s="104">
        <v>45113</v>
      </c>
      <c r="L361" s="100" t="s">
        <v>505</v>
      </c>
      <c r="M361" s="106">
        <v>45113.804976851854</v>
      </c>
      <c r="N361" s="100">
        <v>24</v>
      </c>
      <c r="O361" s="100">
        <v>24</v>
      </c>
      <c r="P361" s="100">
        <v>6</v>
      </c>
      <c r="Q361" s="100">
        <v>73</v>
      </c>
    </row>
    <row r="362" spans="1:17" x14ac:dyDescent="0.3">
      <c r="A362" s="100">
        <v>94</v>
      </c>
      <c r="B362" s="103" t="s">
        <v>356</v>
      </c>
      <c r="C362" s="103" t="s">
        <v>357</v>
      </c>
      <c r="D362" s="103">
        <v>213777</v>
      </c>
      <c r="E362" s="103" t="s">
        <v>350</v>
      </c>
      <c r="F362" s="18">
        <v>25</v>
      </c>
      <c r="G362" s="101">
        <v>213254</v>
      </c>
      <c r="H362" s="103" t="s">
        <v>350</v>
      </c>
      <c r="I362" s="100" t="s">
        <v>506</v>
      </c>
      <c r="J362" s="100">
        <v>1</v>
      </c>
      <c r="K362" s="104">
        <v>45113</v>
      </c>
      <c r="L362" s="100" t="s">
        <v>507</v>
      </c>
      <c r="M362" s="106">
        <v>45113.807083333333</v>
      </c>
      <c r="N362" s="100">
        <v>24</v>
      </c>
      <c r="O362" s="100">
        <v>24</v>
      </c>
      <c r="P362" s="100">
        <v>7</v>
      </c>
      <c r="Q362" s="100">
        <v>74</v>
      </c>
    </row>
    <row r="363" spans="1:17" x14ac:dyDescent="0.3">
      <c r="A363" s="100">
        <v>95</v>
      </c>
      <c r="B363" s="103" t="s">
        <v>356</v>
      </c>
      <c r="C363" s="103" t="s">
        <v>357</v>
      </c>
      <c r="D363" s="103">
        <v>213777</v>
      </c>
      <c r="E363" s="103" t="s">
        <v>350</v>
      </c>
      <c r="F363" s="18">
        <v>25</v>
      </c>
      <c r="G363" s="101">
        <v>213254</v>
      </c>
      <c r="H363" s="103" t="s">
        <v>350</v>
      </c>
      <c r="I363" s="100" t="s">
        <v>508</v>
      </c>
      <c r="J363" s="100">
        <v>2</v>
      </c>
      <c r="K363" s="104">
        <v>45113</v>
      </c>
      <c r="L363" s="100" t="s">
        <v>509</v>
      </c>
      <c r="M363" s="106">
        <v>45113.898553240739</v>
      </c>
      <c r="N363" s="100">
        <v>24</v>
      </c>
      <c r="O363" s="100">
        <v>24</v>
      </c>
      <c r="P363" s="100">
        <v>8</v>
      </c>
      <c r="Q363" s="100">
        <v>75</v>
      </c>
    </row>
    <row r="364" spans="1:17" x14ac:dyDescent="0.3">
      <c r="A364" s="100">
        <v>96</v>
      </c>
      <c r="B364" s="103" t="s">
        <v>356</v>
      </c>
      <c r="C364" s="103" t="s">
        <v>357</v>
      </c>
      <c r="D364" s="103">
        <v>213777</v>
      </c>
      <c r="E364" s="103" t="s">
        <v>350</v>
      </c>
      <c r="F364" s="18">
        <v>25</v>
      </c>
      <c r="G364" s="101">
        <v>213254</v>
      </c>
      <c r="H364" s="103" t="s">
        <v>350</v>
      </c>
      <c r="I364" s="100" t="s">
        <v>510</v>
      </c>
      <c r="J364" s="100">
        <v>0</v>
      </c>
      <c r="K364" s="104">
        <v>45113</v>
      </c>
      <c r="L364" s="100" t="s">
        <v>511</v>
      </c>
      <c r="M364" s="106">
        <v>45113.899108796293</v>
      </c>
      <c r="N364" s="100">
        <v>24</v>
      </c>
      <c r="O364" s="100">
        <v>24</v>
      </c>
      <c r="P364" s="100">
        <v>9</v>
      </c>
      <c r="Q364" s="100">
        <v>76</v>
      </c>
    </row>
    <row r="365" spans="1:17" x14ac:dyDescent="0.3">
      <c r="A365" s="100">
        <v>91</v>
      </c>
      <c r="B365" s="103" t="s">
        <v>184</v>
      </c>
      <c r="C365" s="103" t="s">
        <v>81</v>
      </c>
      <c r="D365" s="103">
        <v>213665</v>
      </c>
      <c r="E365" s="103" t="s">
        <v>350</v>
      </c>
      <c r="F365" s="18">
        <v>25</v>
      </c>
      <c r="G365" s="101">
        <v>213254</v>
      </c>
      <c r="H365" s="103" t="s">
        <v>350</v>
      </c>
      <c r="I365" s="100" t="s">
        <v>351</v>
      </c>
      <c r="J365" s="100">
        <v>2</v>
      </c>
      <c r="K365" s="104">
        <v>45114</v>
      </c>
      <c r="L365" s="100" t="s">
        <v>352</v>
      </c>
      <c r="M365" s="106">
        <v>45114.763611111113</v>
      </c>
      <c r="N365" s="100">
        <v>24</v>
      </c>
      <c r="O365" s="100">
        <v>24</v>
      </c>
      <c r="P365" s="100">
        <v>10</v>
      </c>
      <c r="Q365" s="100">
        <v>76</v>
      </c>
    </row>
    <row r="366" spans="1:17" x14ac:dyDescent="0.3">
      <c r="A366" s="100">
        <v>29</v>
      </c>
      <c r="B366" s="103" t="s">
        <v>184</v>
      </c>
      <c r="C366" s="103" t="s">
        <v>81</v>
      </c>
      <c r="D366" s="103">
        <v>213665</v>
      </c>
      <c r="E366" s="103" t="s">
        <v>214</v>
      </c>
      <c r="F366" s="18">
        <v>39</v>
      </c>
      <c r="G366" s="101">
        <v>223258</v>
      </c>
      <c r="H366" s="103" t="s">
        <v>214</v>
      </c>
      <c r="I366" s="100" t="s">
        <v>215</v>
      </c>
      <c r="J366" s="100">
        <v>0</v>
      </c>
      <c r="K366" s="104">
        <v>45113</v>
      </c>
      <c r="L366" s="100" t="s">
        <v>216</v>
      </c>
      <c r="M366" s="106">
        <v>45113.71671296296</v>
      </c>
      <c r="N366" s="100">
        <v>25</v>
      </c>
      <c r="O366" s="100">
        <v>25</v>
      </c>
      <c r="P366" s="100">
        <v>1</v>
      </c>
      <c r="Q366" s="100">
        <v>14</v>
      </c>
    </row>
    <row r="367" spans="1:17" x14ac:dyDescent="0.3">
      <c r="A367" s="100">
        <v>30</v>
      </c>
      <c r="B367" s="103" t="s">
        <v>184</v>
      </c>
      <c r="C367" s="103" t="s">
        <v>81</v>
      </c>
      <c r="D367" s="103">
        <v>213665</v>
      </c>
      <c r="E367" s="103" t="s">
        <v>214</v>
      </c>
      <c r="F367" s="18">
        <v>39</v>
      </c>
      <c r="G367" s="101">
        <v>223258</v>
      </c>
      <c r="H367" s="103" t="s">
        <v>214</v>
      </c>
      <c r="I367" s="100" t="s">
        <v>217</v>
      </c>
      <c r="J367" s="100">
        <v>1</v>
      </c>
      <c r="K367" s="104">
        <v>45113</v>
      </c>
      <c r="L367" s="100" t="s">
        <v>218</v>
      </c>
      <c r="M367" s="106">
        <v>45113.716724537036</v>
      </c>
      <c r="N367" s="100">
        <v>25</v>
      </c>
      <c r="O367" s="100">
        <v>25</v>
      </c>
      <c r="P367" s="100">
        <v>2</v>
      </c>
      <c r="Q367" s="100">
        <v>15</v>
      </c>
    </row>
    <row r="368" spans="1:17" x14ac:dyDescent="0.3">
      <c r="A368" s="100">
        <v>38</v>
      </c>
      <c r="B368" s="103" t="s">
        <v>184</v>
      </c>
      <c r="C368" s="103" t="s">
        <v>81</v>
      </c>
      <c r="D368" s="103">
        <v>213665</v>
      </c>
      <c r="E368" s="103" t="s">
        <v>214</v>
      </c>
      <c r="F368" s="18">
        <v>39</v>
      </c>
      <c r="G368" s="101">
        <v>223258</v>
      </c>
      <c r="H368" s="103" t="s">
        <v>214</v>
      </c>
      <c r="I368" s="100" t="s">
        <v>235</v>
      </c>
      <c r="J368" s="100">
        <v>4</v>
      </c>
      <c r="K368" s="104">
        <v>45113</v>
      </c>
      <c r="L368" s="100" t="s">
        <v>236</v>
      </c>
      <c r="M368" s="106">
        <v>45113.967199074075</v>
      </c>
      <c r="N368" s="100">
        <v>25</v>
      </c>
      <c r="O368" s="100">
        <v>25</v>
      </c>
      <c r="P368" s="100">
        <v>3</v>
      </c>
      <c r="Q368" s="100">
        <v>23</v>
      </c>
    </row>
    <row r="369" spans="1:17" x14ac:dyDescent="0.3">
      <c r="A369" s="100">
        <v>39</v>
      </c>
      <c r="B369" s="103" t="s">
        <v>184</v>
      </c>
      <c r="C369" s="103" t="s">
        <v>81</v>
      </c>
      <c r="D369" s="103">
        <v>213665</v>
      </c>
      <c r="E369" s="103" t="s">
        <v>214</v>
      </c>
      <c r="F369" s="18">
        <v>39</v>
      </c>
      <c r="G369" s="101">
        <v>223258</v>
      </c>
      <c r="H369" s="103" t="s">
        <v>214</v>
      </c>
      <c r="I369" s="100" t="s">
        <v>237</v>
      </c>
      <c r="J369" s="100">
        <v>0</v>
      </c>
      <c r="K369" s="104">
        <v>45113</v>
      </c>
      <c r="L369" s="100" t="s">
        <v>238</v>
      </c>
      <c r="M369" s="106">
        <v>45113.968599537038</v>
      </c>
      <c r="N369" s="100">
        <v>25</v>
      </c>
      <c r="O369" s="100">
        <v>25</v>
      </c>
      <c r="P369" s="100">
        <v>4</v>
      </c>
      <c r="Q369" s="100">
        <v>24</v>
      </c>
    </row>
    <row r="370" spans="1:17" x14ac:dyDescent="0.3">
      <c r="A370" s="100">
        <v>40</v>
      </c>
      <c r="B370" s="103" t="s">
        <v>184</v>
      </c>
      <c r="C370" s="103" t="s">
        <v>81</v>
      </c>
      <c r="D370" s="103">
        <v>213665</v>
      </c>
      <c r="E370" s="103" t="s">
        <v>214</v>
      </c>
      <c r="F370" s="18">
        <v>39</v>
      </c>
      <c r="G370" s="101">
        <v>223258</v>
      </c>
      <c r="H370" s="103" t="s">
        <v>214</v>
      </c>
      <c r="I370" s="100" t="s">
        <v>239</v>
      </c>
      <c r="J370" s="100">
        <v>0</v>
      </c>
      <c r="K370" s="104">
        <v>45113</v>
      </c>
      <c r="L370" s="100" t="s">
        <v>240</v>
      </c>
      <c r="M370" s="106">
        <v>45113.991527777776</v>
      </c>
      <c r="N370" s="100">
        <v>25</v>
      </c>
      <c r="O370" s="100">
        <v>25</v>
      </c>
      <c r="P370" s="100">
        <v>5</v>
      </c>
      <c r="Q370" s="100">
        <v>25</v>
      </c>
    </row>
    <row r="371" spans="1:17" x14ac:dyDescent="0.3">
      <c r="A371" s="100">
        <v>97</v>
      </c>
      <c r="B371" s="103" t="s">
        <v>356</v>
      </c>
      <c r="C371" s="103" t="s">
        <v>357</v>
      </c>
      <c r="D371" s="103">
        <v>213777</v>
      </c>
      <c r="E371" s="103" t="s">
        <v>229</v>
      </c>
      <c r="F371" s="18">
        <v>37</v>
      </c>
      <c r="G371" s="101">
        <v>223220</v>
      </c>
      <c r="H371" s="103" t="s">
        <v>229</v>
      </c>
      <c r="I371" s="100" t="s">
        <v>512</v>
      </c>
      <c r="J371" s="100">
        <v>1</v>
      </c>
      <c r="K371" s="104">
        <v>45113</v>
      </c>
      <c r="L371" s="100" t="s">
        <v>513</v>
      </c>
      <c r="M371" s="106">
        <v>45113.923425925925</v>
      </c>
      <c r="N371" s="100">
        <v>26</v>
      </c>
      <c r="O371" s="100">
        <v>26</v>
      </c>
      <c r="P371" s="100">
        <v>1</v>
      </c>
      <c r="Q371" s="100">
        <v>77</v>
      </c>
    </row>
    <row r="372" spans="1:17" x14ac:dyDescent="0.3">
      <c r="A372" s="100">
        <v>36</v>
      </c>
      <c r="B372" s="103" t="s">
        <v>184</v>
      </c>
      <c r="C372" s="103" t="s">
        <v>81</v>
      </c>
      <c r="D372" s="103">
        <v>213665</v>
      </c>
      <c r="E372" s="103" t="s">
        <v>229</v>
      </c>
      <c r="F372" s="18">
        <v>37</v>
      </c>
      <c r="G372" s="101">
        <v>223220</v>
      </c>
      <c r="H372" s="103" t="s">
        <v>229</v>
      </c>
      <c r="I372" s="100" t="s">
        <v>230</v>
      </c>
      <c r="J372" s="100">
        <v>1</v>
      </c>
      <c r="K372" s="104">
        <v>45113</v>
      </c>
      <c r="L372" s="100" t="s">
        <v>231</v>
      </c>
      <c r="M372" s="106">
        <v>45113.937025462961</v>
      </c>
      <c r="N372" s="100">
        <v>26</v>
      </c>
      <c r="O372" s="100">
        <v>26</v>
      </c>
      <c r="P372" s="100">
        <v>2</v>
      </c>
      <c r="Q372" s="100">
        <v>21</v>
      </c>
    </row>
    <row r="373" spans="1:17" x14ac:dyDescent="0.3">
      <c r="A373" s="100">
        <v>98</v>
      </c>
      <c r="B373" s="103" t="s">
        <v>356</v>
      </c>
      <c r="C373" s="103" t="s">
        <v>357</v>
      </c>
      <c r="D373" s="103">
        <v>213777</v>
      </c>
      <c r="E373" s="103" t="s">
        <v>514</v>
      </c>
      <c r="F373" s="18">
        <v>28</v>
      </c>
      <c r="G373" s="101">
        <v>213327</v>
      </c>
      <c r="H373" s="103" t="s">
        <v>514</v>
      </c>
      <c r="I373" s="100" t="s">
        <v>515</v>
      </c>
      <c r="J373" s="100">
        <v>1</v>
      </c>
      <c r="K373" s="104">
        <v>45113</v>
      </c>
      <c r="L373" s="100" t="s">
        <v>516</v>
      </c>
      <c r="M373" s="106">
        <v>45113.931550925925</v>
      </c>
      <c r="N373" s="100">
        <v>27</v>
      </c>
      <c r="O373" s="100">
        <v>27</v>
      </c>
      <c r="P373" s="100">
        <v>1</v>
      </c>
      <c r="Q373" s="100">
        <v>78</v>
      </c>
    </row>
    <row r="374" spans="1:17" x14ac:dyDescent="0.3">
      <c r="A374" s="100">
        <v>37</v>
      </c>
      <c r="B374" s="103" t="s">
        <v>184</v>
      </c>
      <c r="C374" s="103" t="s">
        <v>81</v>
      </c>
      <c r="D374" s="103">
        <v>213665</v>
      </c>
      <c r="E374" s="103" t="s">
        <v>232</v>
      </c>
      <c r="F374" s="18">
        <v>5</v>
      </c>
      <c r="G374" s="101">
        <v>192072</v>
      </c>
      <c r="H374" s="103" t="s">
        <v>232</v>
      </c>
      <c r="I374" s="100" t="s">
        <v>233</v>
      </c>
      <c r="J374" s="100">
        <v>1</v>
      </c>
      <c r="K374" s="104">
        <v>45113</v>
      </c>
      <c r="L374" s="100" t="s">
        <v>234</v>
      </c>
      <c r="M374" s="106">
        <v>45113.946377314816</v>
      </c>
      <c r="N374" s="100">
        <v>28</v>
      </c>
      <c r="O374" s="100">
        <v>28</v>
      </c>
      <c r="P374" s="100">
        <v>1</v>
      </c>
      <c r="Q374" s="100">
        <v>22</v>
      </c>
    </row>
    <row r="375" spans="1:17" x14ac:dyDescent="0.3">
      <c r="A375" s="100">
        <v>99</v>
      </c>
      <c r="B375" s="103" t="s">
        <v>356</v>
      </c>
      <c r="C375" s="103" t="s">
        <v>357</v>
      </c>
      <c r="D375" s="103">
        <v>213777</v>
      </c>
      <c r="E375" s="103" t="s">
        <v>232</v>
      </c>
      <c r="F375" s="18">
        <v>5</v>
      </c>
      <c r="G375" s="101">
        <v>192072</v>
      </c>
      <c r="H375" s="103" t="s">
        <v>232</v>
      </c>
      <c r="I375" s="100" t="s">
        <v>517</v>
      </c>
      <c r="J375" s="100">
        <v>0</v>
      </c>
      <c r="K375" s="104">
        <v>45114</v>
      </c>
      <c r="L375" s="100" t="s">
        <v>518</v>
      </c>
      <c r="M375" s="106">
        <v>45114.008761574078</v>
      </c>
      <c r="N375" s="100">
        <v>28</v>
      </c>
      <c r="O375" s="100">
        <v>28</v>
      </c>
      <c r="P375" s="100">
        <v>2</v>
      </c>
      <c r="Q375" s="100">
        <v>79</v>
      </c>
    </row>
    <row r="376" spans="1:17" x14ac:dyDescent="0.3">
      <c r="A376" s="100">
        <v>71</v>
      </c>
      <c r="B376" s="103" t="s">
        <v>184</v>
      </c>
      <c r="C376" s="103" t="s">
        <v>81</v>
      </c>
      <c r="D376" s="103">
        <v>213665</v>
      </c>
      <c r="E376" s="103" t="s">
        <v>232</v>
      </c>
      <c r="F376" s="18">
        <v>5</v>
      </c>
      <c r="G376" s="101">
        <v>192072</v>
      </c>
      <c r="H376" s="103" t="s">
        <v>232</v>
      </c>
      <c r="I376" s="100" t="s">
        <v>308</v>
      </c>
      <c r="J376" s="100">
        <v>1</v>
      </c>
      <c r="K376" s="104">
        <v>45114</v>
      </c>
      <c r="L376" s="100" t="s">
        <v>309</v>
      </c>
      <c r="M376" s="106">
        <v>45114.185162037036</v>
      </c>
      <c r="N376" s="100">
        <v>28</v>
      </c>
      <c r="O376" s="100">
        <v>28</v>
      </c>
      <c r="P376" s="100">
        <v>3</v>
      </c>
      <c r="Q376" s="100">
        <v>56</v>
      </c>
    </row>
    <row r="377" spans="1:17" x14ac:dyDescent="0.3">
      <c r="A377" s="100">
        <v>72</v>
      </c>
      <c r="B377" s="103" t="s">
        <v>184</v>
      </c>
      <c r="C377" s="103" t="s">
        <v>81</v>
      </c>
      <c r="D377" s="103">
        <v>213665</v>
      </c>
      <c r="E377" s="103" t="s">
        <v>232</v>
      </c>
      <c r="F377" s="18">
        <v>5</v>
      </c>
      <c r="G377" s="101">
        <v>192072</v>
      </c>
      <c r="H377" s="103" t="s">
        <v>232</v>
      </c>
      <c r="I377" s="100" t="s">
        <v>310</v>
      </c>
      <c r="J377" s="100">
        <v>2</v>
      </c>
      <c r="K377" s="104">
        <v>45114</v>
      </c>
      <c r="L377" s="100" t="s">
        <v>311</v>
      </c>
      <c r="M377" s="106">
        <v>45114.51599537037</v>
      </c>
      <c r="N377" s="100">
        <v>28</v>
      </c>
      <c r="O377" s="100">
        <v>28</v>
      </c>
      <c r="P377" s="100">
        <v>4</v>
      </c>
      <c r="Q377" s="100">
        <v>57</v>
      </c>
    </row>
    <row r="378" spans="1:17" x14ac:dyDescent="0.3">
      <c r="A378" s="100">
        <v>41</v>
      </c>
      <c r="B378" s="103" t="s">
        <v>184</v>
      </c>
      <c r="C378" s="103" t="s">
        <v>81</v>
      </c>
      <c r="D378" s="103">
        <v>213665</v>
      </c>
      <c r="E378" s="103" t="s">
        <v>241</v>
      </c>
      <c r="F378" s="18">
        <v>38</v>
      </c>
      <c r="G378" s="101">
        <v>223223</v>
      </c>
      <c r="H378" s="103" t="s">
        <v>241</v>
      </c>
      <c r="I378" s="100" t="s">
        <v>242</v>
      </c>
      <c r="J378" s="100">
        <v>1</v>
      </c>
      <c r="K378" s="104">
        <v>45113</v>
      </c>
      <c r="L378" s="100" t="s">
        <v>243</v>
      </c>
      <c r="M378" s="106">
        <v>45113.995833333334</v>
      </c>
      <c r="N378" s="100">
        <v>29</v>
      </c>
      <c r="O378" s="100">
        <v>29</v>
      </c>
      <c r="P378" s="100">
        <v>1</v>
      </c>
      <c r="Q378" s="100">
        <v>26</v>
      </c>
    </row>
    <row r="379" spans="1:17" x14ac:dyDescent="0.3">
      <c r="A379" s="100">
        <v>101</v>
      </c>
      <c r="B379" s="103" t="s">
        <v>356</v>
      </c>
      <c r="C379" s="103" t="s">
        <v>357</v>
      </c>
      <c r="D379" s="103">
        <v>213777</v>
      </c>
      <c r="E379" s="103" t="s">
        <v>241</v>
      </c>
      <c r="F379" s="18">
        <v>38</v>
      </c>
      <c r="G379" s="101">
        <v>223223</v>
      </c>
      <c r="H379" s="103" t="s">
        <v>241</v>
      </c>
      <c r="I379" s="100" t="s">
        <v>521</v>
      </c>
      <c r="J379" s="100">
        <v>0</v>
      </c>
      <c r="K379" s="104">
        <v>45114</v>
      </c>
      <c r="L379" s="100" t="s">
        <v>522</v>
      </c>
      <c r="M379" s="106">
        <v>45114.053159722222</v>
      </c>
      <c r="N379" s="100">
        <v>29</v>
      </c>
      <c r="O379" s="100">
        <v>29</v>
      </c>
      <c r="P379" s="100">
        <v>2</v>
      </c>
      <c r="Q379" s="100">
        <v>81</v>
      </c>
    </row>
    <row r="380" spans="1:17" x14ac:dyDescent="0.3">
      <c r="A380" s="100">
        <v>102</v>
      </c>
      <c r="B380" s="103" t="s">
        <v>356</v>
      </c>
      <c r="C380" s="103" t="s">
        <v>357</v>
      </c>
      <c r="D380" s="103">
        <v>213777</v>
      </c>
      <c r="E380" s="103" t="s">
        <v>241</v>
      </c>
      <c r="F380" s="18">
        <v>38</v>
      </c>
      <c r="G380" s="101">
        <v>223223</v>
      </c>
      <c r="H380" s="103" t="s">
        <v>241</v>
      </c>
      <c r="I380" s="100" t="s">
        <v>523</v>
      </c>
      <c r="J380" s="100">
        <v>1</v>
      </c>
      <c r="K380" s="104">
        <v>45114</v>
      </c>
      <c r="L380" s="100" t="s">
        <v>524</v>
      </c>
      <c r="M380" s="106">
        <v>45114.057280092595</v>
      </c>
      <c r="N380" s="100">
        <v>29</v>
      </c>
      <c r="O380" s="100">
        <v>29</v>
      </c>
      <c r="P380" s="100">
        <v>3</v>
      </c>
      <c r="Q380" s="100">
        <v>82</v>
      </c>
    </row>
    <row r="381" spans="1:17" x14ac:dyDescent="0.3">
      <c r="A381" s="100">
        <v>103</v>
      </c>
      <c r="B381" s="103" t="s">
        <v>356</v>
      </c>
      <c r="C381" s="103" t="s">
        <v>357</v>
      </c>
      <c r="D381" s="103">
        <v>213777</v>
      </c>
      <c r="E381" s="103" t="s">
        <v>241</v>
      </c>
      <c r="F381" s="18">
        <v>38</v>
      </c>
      <c r="G381" s="101">
        <v>223223</v>
      </c>
      <c r="H381" s="103" t="s">
        <v>241</v>
      </c>
      <c r="I381" s="100" t="s">
        <v>525</v>
      </c>
      <c r="J381" s="100">
        <v>1</v>
      </c>
      <c r="K381" s="104">
        <v>45114</v>
      </c>
      <c r="L381" s="100" t="s">
        <v>526</v>
      </c>
      <c r="M381" s="106">
        <v>45114.058819444443</v>
      </c>
      <c r="N381" s="100">
        <v>29</v>
      </c>
      <c r="O381" s="100">
        <v>29</v>
      </c>
      <c r="P381" s="100">
        <v>4</v>
      </c>
      <c r="Q381" s="100">
        <v>83</v>
      </c>
    </row>
    <row r="382" spans="1:17" x14ac:dyDescent="0.3">
      <c r="A382" s="100">
        <v>109</v>
      </c>
      <c r="B382" s="103" t="s">
        <v>356</v>
      </c>
      <c r="C382" s="103" t="s">
        <v>357</v>
      </c>
      <c r="D382" s="103">
        <v>213777</v>
      </c>
      <c r="E382" s="103" t="s">
        <v>241</v>
      </c>
      <c r="F382" s="18">
        <v>38</v>
      </c>
      <c r="G382" s="101">
        <v>223223</v>
      </c>
      <c r="H382" s="103" t="s">
        <v>241</v>
      </c>
      <c r="I382" s="100" t="s">
        <v>537</v>
      </c>
      <c r="J382" s="100">
        <v>1</v>
      </c>
      <c r="K382" s="104">
        <v>45114</v>
      </c>
      <c r="L382" s="100" t="s">
        <v>538</v>
      </c>
      <c r="M382" s="106">
        <v>45114.238541666666</v>
      </c>
      <c r="N382" s="100">
        <v>29</v>
      </c>
      <c r="O382" s="100">
        <v>29</v>
      </c>
      <c r="P382" s="100">
        <v>5</v>
      </c>
      <c r="Q382" s="100">
        <v>89</v>
      </c>
    </row>
    <row r="383" spans="1:17" x14ac:dyDescent="0.3">
      <c r="A383" s="100">
        <v>110</v>
      </c>
      <c r="B383" s="103" t="s">
        <v>356</v>
      </c>
      <c r="C383" s="103" t="s">
        <v>357</v>
      </c>
      <c r="D383" s="103">
        <v>213777</v>
      </c>
      <c r="E383" s="103" t="s">
        <v>241</v>
      </c>
      <c r="F383" s="18">
        <v>38</v>
      </c>
      <c r="G383" s="101">
        <v>223223</v>
      </c>
      <c r="H383" s="103" t="s">
        <v>241</v>
      </c>
      <c r="I383" s="100" t="s">
        <v>539</v>
      </c>
      <c r="J383" s="100">
        <v>3</v>
      </c>
      <c r="K383" s="104">
        <v>45114</v>
      </c>
      <c r="L383" s="100" t="s">
        <v>540</v>
      </c>
      <c r="M383" s="106">
        <v>45114.239166666666</v>
      </c>
      <c r="N383" s="100">
        <v>29</v>
      </c>
      <c r="O383" s="100">
        <v>29</v>
      </c>
      <c r="P383" s="100">
        <v>6</v>
      </c>
      <c r="Q383" s="100">
        <v>90</v>
      </c>
    </row>
    <row r="384" spans="1:17" x14ac:dyDescent="0.3">
      <c r="A384" s="100">
        <v>47</v>
      </c>
      <c r="B384" s="103" t="s">
        <v>184</v>
      </c>
      <c r="C384" s="103" t="s">
        <v>81</v>
      </c>
      <c r="D384" s="103">
        <v>213665</v>
      </c>
      <c r="E384" s="103" t="s">
        <v>257</v>
      </c>
      <c r="F384" s="18">
        <v>22</v>
      </c>
      <c r="G384" s="101">
        <v>213117</v>
      </c>
      <c r="H384" s="103" t="s">
        <v>257</v>
      </c>
      <c r="I384" s="100" t="s">
        <v>258</v>
      </c>
      <c r="J384" s="100">
        <v>1</v>
      </c>
      <c r="K384" s="104">
        <v>45114</v>
      </c>
      <c r="L384" s="100" t="s">
        <v>259</v>
      </c>
      <c r="M384" s="106">
        <v>45114.011504629627</v>
      </c>
      <c r="N384" s="100">
        <v>30</v>
      </c>
      <c r="O384" s="100">
        <v>30</v>
      </c>
      <c r="P384" s="100">
        <v>1</v>
      </c>
      <c r="Q384" s="100">
        <v>32</v>
      </c>
    </row>
    <row r="385" spans="1:18" x14ac:dyDescent="0.3">
      <c r="A385" s="100">
        <v>48</v>
      </c>
      <c r="B385" s="103" t="s">
        <v>184</v>
      </c>
      <c r="C385" s="103" t="s">
        <v>81</v>
      </c>
      <c r="D385" s="103">
        <v>213665</v>
      </c>
      <c r="E385" s="103" t="s">
        <v>257</v>
      </c>
      <c r="F385" s="18">
        <v>22</v>
      </c>
      <c r="G385" s="101">
        <v>213117</v>
      </c>
      <c r="H385" s="103" t="s">
        <v>257</v>
      </c>
      <c r="I385" s="100" t="s">
        <v>260</v>
      </c>
      <c r="J385" s="100">
        <v>1</v>
      </c>
      <c r="K385" s="104">
        <v>45114</v>
      </c>
      <c r="L385" s="100" t="s">
        <v>261</v>
      </c>
      <c r="M385" s="106">
        <v>45114.012303240743</v>
      </c>
      <c r="N385" s="100">
        <v>30</v>
      </c>
      <c r="O385" s="100">
        <v>30</v>
      </c>
      <c r="P385" s="100">
        <v>2</v>
      </c>
      <c r="Q385" s="100">
        <v>33</v>
      </c>
    </row>
    <row r="386" spans="1:18" x14ac:dyDescent="0.3">
      <c r="A386" s="100">
        <v>49</v>
      </c>
      <c r="B386" s="103" t="s">
        <v>184</v>
      </c>
      <c r="C386" s="103" t="s">
        <v>81</v>
      </c>
      <c r="D386" s="103">
        <v>213665</v>
      </c>
      <c r="E386" s="103" t="s">
        <v>257</v>
      </c>
      <c r="F386" s="18">
        <v>22</v>
      </c>
      <c r="G386" s="101">
        <v>213117</v>
      </c>
      <c r="H386" s="103" t="s">
        <v>257</v>
      </c>
      <c r="I386" s="100" t="s">
        <v>262</v>
      </c>
      <c r="J386" s="100">
        <v>1</v>
      </c>
      <c r="K386" s="104">
        <v>45114</v>
      </c>
      <c r="L386" s="100" t="s">
        <v>263</v>
      </c>
      <c r="M386" s="106">
        <v>45114.012337962966</v>
      </c>
      <c r="N386" s="100">
        <v>30</v>
      </c>
      <c r="O386" s="100">
        <v>30</v>
      </c>
      <c r="P386" s="100">
        <v>3</v>
      </c>
      <c r="Q386" s="100">
        <v>34</v>
      </c>
    </row>
    <row r="387" spans="1:18" x14ac:dyDescent="0.3">
      <c r="A387" s="100">
        <v>54</v>
      </c>
      <c r="B387" s="103" t="s">
        <v>184</v>
      </c>
      <c r="C387" s="103" t="s">
        <v>81</v>
      </c>
      <c r="D387" s="103">
        <v>213665</v>
      </c>
      <c r="E387" s="103" t="s">
        <v>273</v>
      </c>
      <c r="F387" s="18">
        <v>34</v>
      </c>
      <c r="G387" s="101">
        <v>223148</v>
      </c>
      <c r="H387" s="103" t="s">
        <v>273</v>
      </c>
      <c r="I387" s="100" t="s">
        <v>274</v>
      </c>
      <c r="J387" s="100">
        <v>2</v>
      </c>
      <c r="K387" s="104">
        <v>45114</v>
      </c>
      <c r="L387" s="100" t="s">
        <v>275</v>
      </c>
      <c r="M387" s="106">
        <v>45114.130046296297</v>
      </c>
      <c r="N387" s="100">
        <v>31</v>
      </c>
      <c r="O387" s="100">
        <v>31</v>
      </c>
      <c r="P387" s="100">
        <v>1</v>
      </c>
      <c r="Q387" s="100">
        <v>39</v>
      </c>
    </row>
    <row r="388" spans="1:18" x14ac:dyDescent="0.3">
      <c r="A388" s="100">
        <v>55</v>
      </c>
      <c r="B388" s="103" t="s">
        <v>184</v>
      </c>
      <c r="C388" s="103" t="s">
        <v>81</v>
      </c>
      <c r="D388" s="103">
        <v>213665</v>
      </c>
      <c r="E388" s="103" t="s">
        <v>273</v>
      </c>
      <c r="F388" s="18">
        <v>34</v>
      </c>
      <c r="G388" s="101">
        <v>223148</v>
      </c>
      <c r="H388" s="103" t="s">
        <v>273</v>
      </c>
      <c r="I388" s="100" t="s">
        <v>276</v>
      </c>
      <c r="J388" s="100">
        <v>1</v>
      </c>
      <c r="K388" s="104">
        <v>45114</v>
      </c>
      <c r="L388" s="100" t="s">
        <v>277</v>
      </c>
      <c r="M388" s="106">
        <v>45114.131238425929</v>
      </c>
      <c r="N388" s="100">
        <v>31</v>
      </c>
      <c r="O388" s="100">
        <v>31</v>
      </c>
      <c r="P388" s="100">
        <v>2</v>
      </c>
      <c r="Q388" s="100">
        <v>40</v>
      </c>
    </row>
    <row r="389" spans="1:18" x14ac:dyDescent="0.3">
      <c r="A389" s="100">
        <v>56</v>
      </c>
      <c r="B389" s="103" t="s">
        <v>184</v>
      </c>
      <c r="C389" s="103" t="s">
        <v>81</v>
      </c>
      <c r="D389" s="103">
        <v>213665</v>
      </c>
      <c r="E389" s="103" t="s">
        <v>273</v>
      </c>
      <c r="F389" s="18">
        <v>34</v>
      </c>
      <c r="G389" s="101">
        <v>223148</v>
      </c>
      <c r="H389" s="103" t="s">
        <v>273</v>
      </c>
      <c r="I389" s="100" t="s">
        <v>278</v>
      </c>
      <c r="J389" s="100">
        <v>1</v>
      </c>
      <c r="K389" s="104">
        <v>45114</v>
      </c>
      <c r="L389" s="100" t="s">
        <v>279</v>
      </c>
      <c r="M389" s="106">
        <v>45114.131284722222</v>
      </c>
      <c r="N389" s="100">
        <v>31</v>
      </c>
      <c r="O389" s="100">
        <v>31</v>
      </c>
      <c r="P389" s="100">
        <v>3</v>
      </c>
      <c r="Q389" s="100">
        <v>41</v>
      </c>
    </row>
    <row r="390" spans="1:18" x14ac:dyDescent="0.3">
      <c r="A390" s="100">
        <v>61</v>
      </c>
      <c r="B390" s="103" t="s">
        <v>184</v>
      </c>
      <c r="C390" s="103" t="s">
        <v>81</v>
      </c>
      <c r="D390" s="103">
        <v>213665</v>
      </c>
      <c r="E390" s="103" t="s">
        <v>273</v>
      </c>
      <c r="F390" s="18">
        <v>34</v>
      </c>
      <c r="G390" s="101">
        <v>223148</v>
      </c>
      <c r="H390" s="103" t="s">
        <v>273</v>
      </c>
      <c r="I390" s="100" t="s">
        <v>288</v>
      </c>
      <c r="J390" s="100">
        <v>1</v>
      </c>
      <c r="K390" s="104">
        <v>45114</v>
      </c>
      <c r="L390" s="100" t="s">
        <v>289</v>
      </c>
      <c r="M390" s="106">
        <v>45114.152418981481</v>
      </c>
      <c r="N390" s="100">
        <v>31</v>
      </c>
      <c r="O390" s="100">
        <v>31</v>
      </c>
      <c r="P390" s="100">
        <v>4</v>
      </c>
      <c r="Q390" s="100">
        <v>46</v>
      </c>
    </row>
    <row r="391" spans="1:18" x14ac:dyDescent="0.3">
      <c r="A391" s="100">
        <v>90</v>
      </c>
      <c r="B391" s="103" t="s">
        <v>184</v>
      </c>
      <c r="C391" s="103" t="s">
        <v>81</v>
      </c>
      <c r="D391" s="103">
        <v>213665</v>
      </c>
      <c r="E391" s="103" t="s">
        <v>347</v>
      </c>
      <c r="F391" s="18">
        <v>46</v>
      </c>
      <c r="G391" s="101">
        <v>223419</v>
      </c>
      <c r="H391" s="103" t="s">
        <v>347</v>
      </c>
      <c r="I391" s="100" t="s">
        <v>348</v>
      </c>
      <c r="J391" s="100">
        <v>2</v>
      </c>
      <c r="K391" s="104">
        <v>45114</v>
      </c>
      <c r="L391" s="100" t="s">
        <v>349</v>
      </c>
      <c r="M391" s="106">
        <v>45114.743738425925</v>
      </c>
      <c r="N391" s="100">
        <v>32</v>
      </c>
      <c r="O391" s="100">
        <v>32</v>
      </c>
      <c r="P391" s="100">
        <v>1</v>
      </c>
      <c r="Q391" s="100">
        <v>75</v>
      </c>
    </row>
    <row r="392" spans="1:18" x14ac:dyDescent="0.3">
      <c r="B392" s="103"/>
      <c r="C392" s="103"/>
      <c r="D392" s="103"/>
      <c r="E392" s="103"/>
      <c r="F392" s="109"/>
      <c r="G392" s="110"/>
      <c r="H392" s="103"/>
      <c r="K392" s="104"/>
      <c r="M392" s="106"/>
    </row>
    <row r="394" spans="1:18" x14ac:dyDescent="0.3">
      <c r="A394" s="23">
        <v>98</v>
      </c>
      <c r="B394" s="64" t="s">
        <v>596</v>
      </c>
      <c r="C394" s="64" t="s">
        <v>597</v>
      </c>
      <c r="D394" s="64">
        <v>213711</v>
      </c>
      <c r="E394" s="107" t="s">
        <v>180</v>
      </c>
      <c r="F394" s="64"/>
      <c r="G394" s="23">
        <v>16</v>
      </c>
      <c r="H394" s="64" t="s">
        <v>180</v>
      </c>
      <c r="I394" s="23" t="s">
        <v>766</v>
      </c>
      <c r="J394" s="23">
        <v>3</v>
      </c>
      <c r="K394" s="65">
        <v>45113</v>
      </c>
      <c r="L394" s="23" t="s">
        <v>82</v>
      </c>
      <c r="M394" s="108">
        <v>45113.010081018518</v>
      </c>
      <c r="N394" s="23">
        <v>16</v>
      </c>
      <c r="O394" s="23">
        <v>16</v>
      </c>
      <c r="P394" s="23">
        <v>1</v>
      </c>
      <c r="Q394" s="23">
        <v>82</v>
      </c>
      <c r="R394" s="23"/>
    </row>
    <row r="395" spans="1:18" x14ac:dyDescent="0.3">
      <c r="A395" s="23">
        <v>83</v>
      </c>
      <c r="B395" s="64" t="s">
        <v>356</v>
      </c>
      <c r="C395" s="64" t="s">
        <v>357</v>
      </c>
      <c r="D395" s="64">
        <v>213777</v>
      </c>
      <c r="E395" s="107" t="s">
        <v>178</v>
      </c>
      <c r="F395" s="64"/>
      <c r="G395" s="23">
        <v>22</v>
      </c>
      <c r="H395" s="64" t="s">
        <v>178</v>
      </c>
      <c r="I395" s="23" t="s">
        <v>483</v>
      </c>
      <c r="J395" s="23">
        <v>2</v>
      </c>
      <c r="K395" s="65">
        <v>45113</v>
      </c>
      <c r="L395" s="23" t="s">
        <v>484</v>
      </c>
      <c r="M395" s="108">
        <v>45113.558946759258</v>
      </c>
      <c r="N395" s="23">
        <v>22</v>
      </c>
      <c r="O395" s="23">
        <v>22</v>
      </c>
      <c r="P395" s="23">
        <v>1</v>
      </c>
      <c r="Q395" s="23">
        <v>63</v>
      </c>
      <c r="R395" s="23"/>
    </row>
    <row r="396" spans="1:18" x14ac:dyDescent="0.3">
      <c r="A396" s="23">
        <v>108</v>
      </c>
      <c r="B396" s="64" t="s">
        <v>356</v>
      </c>
      <c r="C396" s="64" t="s">
        <v>357</v>
      </c>
      <c r="D396" s="64">
        <v>213777</v>
      </c>
      <c r="E396" s="107" t="s">
        <v>179</v>
      </c>
      <c r="F396" s="64"/>
      <c r="G396" s="23">
        <v>34</v>
      </c>
      <c r="H396" s="64" t="s">
        <v>179</v>
      </c>
      <c r="I396" s="23" t="s">
        <v>535</v>
      </c>
      <c r="J396" s="23">
        <v>1</v>
      </c>
      <c r="K396" s="65">
        <v>45114</v>
      </c>
      <c r="L396" s="23" t="s">
        <v>536</v>
      </c>
      <c r="M396" s="108">
        <v>45114.171655092592</v>
      </c>
      <c r="N396" s="23">
        <v>34</v>
      </c>
      <c r="O396" s="23">
        <v>34</v>
      </c>
      <c r="P396" s="23">
        <v>1</v>
      </c>
      <c r="Q396" s="23">
        <v>88</v>
      </c>
      <c r="R396" s="23"/>
    </row>
  </sheetData>
  <autoFilter ref="A1:O938"/>
  <sortState ref="A2:L597">
    <sortCondition ref="K2:K597"/>
    <sortCondition ref="J2:J597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4"/>
  <sheetViews>
    <sheetView workbookViewId="0">
      <pane xSplit="6" topLeftCell="G1" activePane="topRight" state="frozen"/>
      <selection pane="topRight" activeCell="AV56" sqref="AV56"/>
    </sheetView>
  </sheetViews>
  <sheetFormatPr baseColWidth="10" defaultRowHeight="14.4" x14ac:dyDescent="0.3"/>
  <cols>
    <col min="1" max="1" width="8.88671875" customWidth="1"/>
    <col min="2" max="2" width="13.33203125" customWidth="1"/>
    <col min="3" max="3" width="10.6640625" customWidth="1"/>
    <col min="4" max="5" width="6.6640625" customWidth="1"/>
    <col min="6" max="6" width="10.33203125" customWidth="1"/>
    <col min="8" max="8" width="11.5546875" style="100"/>
    <col min="10" max="10" width="8.109375" customWidth="1"/>
    <col min="12" max="12" width="7.6640625" customWidth="1"/>
    <col min="13" max="13" width="6.33203125" customWidth="1"/>
    <col min="14" max="14" width="10.6640625" style="100" customWidth="1"/>
    <col min="15" max="16" width="6.33203125" customWidth="1"/>
    <col min="17" max="17" width="10.6640625" style="100" customWidth="1"/>
    <col min="18" max="19" width="6.33203125" customWidth="1"/>
    <col min="20" max="20" width="6.6640625" customWidth="1"/>
    <col min="21" max="21" width="9.6640625" style="100" customWidth="1"/>
    <col min="22" max="22" width="11.5546875" customWidth="1"/>
    <col min="23" max="23" width="6.33203125" customWidth="1"/>
    <col min="24" max="24" width="9.109375" customWidth="1"/>
    <col min="25" max="25" width="9.33203125" customWidth="1"/>
    <col min="26" max="26" width="8.33203125" customWidth="1"/>
    <col min="27" max="27" width="9.33203125" customWidth="1"/>
    <col min="28" max="28" width="6.6640625" style="100" customWidth="1"/>
    <col min="29" max="29" width="5.6640625" customWidth="1"/>
    <col min="30" max="30" width="6.6640625" style="100" customWidth="1"/>
    <col min="31" max="31" width="8.88671875" style="100" customWidth="1"/>
    <col min="32" max="32" width="6.88671875" customWidth="1"/>
    <col min="33" max="34" width="16.6640625" customWidth="1"/>
    <col min="35" max="36" width="16.6640625" style="100" customWidth="1"/>
    <col min="37" max="37" width="13.88671875" customWidth="1"/>
    <col min="38" max="38" width="12.33203125" bestFit="1" customWidth="1"/>
    <col min="39" max="39" width="7.5546875" customWidth="1"/>
    <col min="41" max="41" width="9" customWidth="1"/>
    <col min="42" max="42" width="11.6640625" bestFit="1" customWidth="1"/>
    <col min="43" max="43" width="16.109375" style="19" customWidth="1"/>
    <col min="44" max="44" width="13.33203125" style="19" customWidth="1"/>
    <col min="45" max="45" width="11.6640625" style="19" bestFit="1" customWidth="1"/>
    <col min="46" max="46" width="11.6640625" bestFit="1" customWidth="1"/>
    <col min="47" max="47" width="9" customWidth="1"/>
    <col min="48" max="48" width="7.109375" style="100" customWidth="1"/>
    <col min="56" max="56" width="13.33203125" customWidth="1"/>
  </cols>
  <sheetData>
    <row r="1" spans="1:56" ht="16.2" thickBot="1" x14ac:dyDescent="0.35">
      <c r="A1" s="16" t="s">
        <v>91</v>
      </c>
      <c r="B1" s="16"/>
      <c r="C1" s="16"/>
      <c r="AK1" s="116">
        <v>45111.340277777781</v>
      </c>
    </row>
    <row r="2" spans="1:56" ht="15" thickBot="1" x14ac:dyDescent="0.35">
      <c r="A2" t="s">
        <v>62</v>
      </c>
      <c r="Z2" s="25"/>
      <c r="AA2" s="25"/>
      <c r="AB2" s="25"/>
      <c r="AC2" s="25"/>
      <c r="AD2" s="25"/>
      <c r="AE2" s="25"/>
      <c r="AG2" s="13">
        <f>SUBTOTAL(3,AG5:AG52)</f>
        <v>32</v>
      </c>
      <c r="AK2" s="116">
        <v>45111.305555555555</v>
      </c>
      <c r="AL2" s="13">
        <f>SUBTOTAL(3,AL5:AL52)</f>
        <v>32</v>
      </c>
      <c r="AT2" s="8">
        <v>45177</v>
      </c>
      <c r="AU2" s="19"/>
      <c r="AV2" s="19"/>
      <c r="AW2" s="19"/>
    </row>
    <row r="3" spans="1:56" ht="15" customHeight="1" thickBot="1" x14ac:dyDescent="0.35">
      <c r="G3" s="5"/>
      <c r="H3" s="5"/>
      <c r="I3" s="6"/>
      <c r="J3" s="6"/>
      <c r="K3" s="6">
        <v>45111</v>
      </c>
      <c r="L3" s="6"/>
      <c r="M3" s="6"/>
      <c r="N3" s="6"/>
      <c r="O3" s="6"/>
      <c r="P3" s="6"/>
      <c r="Q3" s="6"/>
      <c r="R3" s="149"/>
      <c r="S3" s="149"/>
      <c r="T3" s="6"/>
      <c r="U3" s="6"/>
      <c r="V3" s="6"/>
      <c r="W3" s="154" t="s">
        <v>159</v>
      </c>
      <c r="X3" s="155"/>
      <c r="Y3" s="155"/>
      <c r="Z3" s="155"/>
      <c r="AA3" s="155"/>
      <c r="AB3" s="155"/>
      <c r="AC3" s="159"/>
      <c r="AD3" s="144"/>
      <c r="AE3" s="144"/>
      <c r="AF3" s="151" t="s">
        <v>7</v>
      </c>
      <c r="AG3" s="152"/>
      <c r="AH3" s="152"/>
      <c r="AI3" s="152"/>
      <c r="AJ3" s="152"/>
      <c r="AK3" s="152"/>
      <c r="AL3" s="152"/>
      <c r="AM3" s="152"/>
      <c r="AN3" s="152"/>
      <c r="AO3" s="153"/>
      <c r="AP3" s="154" t="s">
        <v>13</v>
      </c>
      <c r="AQ3" s="155"/>
      <c r="AR3" s="155"/>
      <c r="AS3" s="155"/>
      <c r="AT3" s="156" t="s">
        <v>1039</v>
      </c>
      <c r="AU3" s="157"/>
      <c r="AV3" s="157"/>
      <c r="AW3" s="158"/>
    </row>
    <row r="4" spans="1:56" ht="31.2" thickBot="1" x14ac:dyDescent="0.35">
      <c r="A4" s="1" t="s">
        <v>60</v>
      </c>
      <c r="B4" s="1" t="s">
        <v>70</v>
      </c>
      <c r="C4" s="1" t="s">
        <v>80</v>
      </c>
      <c r="D4" s="1" t="s">
        <v>76</v>
      </c>
      <c r="E4" s="1"/>
      <c r="F4" s="1" t="s">
        <v>61</v>
      </c>
      <c r="G4" s="1" t="s">
        <v>23</v>
      </c>
      <c r="H4" s="1" t="s">
        <v>1041</v>
      </c>
      <c r="I4" s="1" t="s">
        <v>24</v>
      </c>
      <c r="J4" s="66" t="s">
        <v>78</v>
      </c>
      <c r="K4" s="1" t="s">
        <v>55</v>
      </c>
      <c r="L4" s="1" t="s">
        <v>151</v>
      </c>
      <c r="M4" s="1" t="s">
        <v>56</v>
      </c>
      <c r="N4" s="66" t="s">
        <v>1022</v>
      </c>
      <c r="O4" s="66" t="s">
        <v>152</v>
      </c>
      <c r="P4" s="66" t="s">
        <v>57</v>
      </c>
      <c r="Q4" s="66" t="s">
        <v>1030</v>
      </c>
      <c r="R4" s="1" t="s">
        <v>153</v>
      </c>
      <c r="S4" s="1" t="s">
        <v>79</v>
      </c>
      <c r="T4" s="1" t="s">
        <v>99</v>
      </c>
      <c r="U4" s="1" t="s">
        <v>1043</v>
      </c>
      <c r="V4" s="1" t="s">
        <v>100</v>
      </c>
      <c r="W4" s="1" t="s">
        <v>160</v>
      </c>
      <c r="X4" s="1" t="s">
        <v>156</v>
      </c>
      <c r="Y4" s="1" t="s">
        <v>157</v>
      </c>
      <c r="Z4" s="1" t="s">
        <v>158</v>
      </c>
      <c r="AA4" s="1" t="s">
        <v>161</v>
      </c>
      <c r="AB4" s="1" t="s">
        <v>162</v>
      </c>
      <c r="AC4" s="1" t="s">
        <v>1042</v>
      </c>
      <c r="AD4" s="1"/>
      <c r="AE4" s="1" t="s">
        <v>1040</v>
      </c>
      <c r="AF4" s="1" t="s">
        <v>0</v>
      </c>
      <c r="AG4" s="1" t="s">
        <v>1</v>
      </c>
      <c r="AH4" s="1" t="s">
        <v>2</v>
      </c>
      <c r="AI4" s="1" t="s">
        <v>1009</v>
      </c>
      <c r="AJ4" s="1" t="s">
        <v>1010</v>
      </c>
      <c r="AK4" s="1" t="s">
        <v>48</v>
      </c>
      <c r="AL4" s="1" t="s">
        <v>3</v>
      </c>
      <c r="AM4" s="1" t="s">
        <v>4</v>
      </c>
      <c r="AN4" s="1" t="s">
        <v>5</v>
      </c>
      <c r="AO4" s="1" t="s">
        <v>6</v>
      </c>
      <c r="AP4" s="2" t="s">
        <v>14</v>
      </c>
      <c r="AQ4" s="2" t="s">
        <v>15</v>
      </c>
      <c r="AR4" s="3" t="s">
        <v>16</v>
      </c>
      <c r="AS4" s="4" t="s">
        <v>17</v>
      </c>
      <c r="AT4" s="22" t="s">
        <v>18</v>
      </c>
      <c r="AU4" s="141" t="s">
        <v>19</v>
      </c>
      <c r="AV4" s="142" t="s">
        <v>8</v>
      </c>
      <c r="AW4" s="22" t="s">
        <v>20</v>
      </c>
      <c r="AX4" s="1" t="s">
        <v>8</v>
      </c>
      <c r="AY4" s="1" t="s">
        <v>9</v>
      </c>
      <c r="AZ4" s="1" t="s">
        <v>10</v>
      </c>
      <c r="BA4" s="1" t="s">
        <v>11</v>
      </c>
      <c r="BB4" s="1" t="s">
        <v>12</v>
      </c>
      <c r="BC4" s="1" t="s">
        <v>21</v>
      </c>
      <c r="BD4" s="2" t="s">
        <v>22</v>
      </c>
    </row>
    <row r="5" spans="1:56" s="83" customFormat="1" x14ac:dyDescent="0.3">
      <c r="A5" s="18">
        <v>1</v>
      </c>
      <c r="B5" s="67">
        <v>16286882007</v>
      </c>
      <c r="C5" s="71">
        <v>182007</v>
      </c>
      <c r="D5" s="72">
        <v>1</v>
      </c>
      <c r="E5" s="72" t="s">
        <v>102</v>
      </c>
      <c r="F5" s="102">
        <v>25871</v>
      </c>
      <c r="G5" s="74">
        <v>43064</v>
      </c>
      <c r="H5" s="139">
        <f>($K$3-G5)/365</f>
        <v>5.6082191780821917</v>
      </c>
      <c r="I5" s="74">
        <v>44897</v>
      </c>
      <c r="J5" s="68">
        <v>2</v>
      </c>
      <c r="K5" s="75">
        <f t="shared" ref="K5:K52" si="0">$K$3-I5</f>
        <v>214</v>
      </c>
      <c r="L5" s="85">
        <v>80.5</v>
      </c>
      <c r="M5" s="76">
        <v>2.8</v>
      </c>
      <c r="N5" s="136">
        <v>45145</v>
      </c>
      <c r="O5" s="137">
        <v>70.510000000000005</v>
      </c>
      <c r="P5" s="137">
        <v>2.5</v>
      </c>
      <c r="Q5" s="136" t="s">
        <v>1025</v>
      </c>
      <c r="R5" s="140">
        <v>72.2</v>
      </c>
      <c r="S5" s="76">
        <v>2.7</v>
      </c>
      <c r="T5" s="76" t="s">
        <v>101</v>
      </c>
      <c r="U5" s="76" t="s">
        <v>1026</v>
      </c>
      <c r="V5" s="138">
        <v>16330840049</v>
      </c>
      <c r="W5" s="73">
        <v>5</v>
      </c>
      <c r="X5" s="89">
        <v>359.3</v>
      </c>
      <c r="Y5" s="90">
        <v>179</v>
      </c>
      <c r="Z5" s="89">
        <v>373</v>
      </c>
      <c r="AA5" s="90">
        <v>166</v>
      </c>
      <c r="AB5" s="77">
        <v>1.38</v>
      </c>
      <c r="AC5" s="90">
        <f>AB5*1000</f>
        <v>1380</v>
      </c>
      <c r="AD5" s="128">
        <f>EXP(1.741+(0.011*Z5)-(0.002*AC5)+(0.275*H5)-1.952)</f>
        <v>14.501618646256713</v>
      </c>
      <c r="AE5" s="128">
        <f>(AD5/(1+AD5))</f>
        <v>0.93549060760558211</v>
      </c>
      <c r="AF5" s="26"/>
      <c r="AG5" s="19"/>
      <c r="AH5" s="19"/>
      <c r="AI5" s="19"/>
      <c r="AJ5" s="19"/>
      <c r="AK5" s="78"/>
      <c r="AL5" s="78"/>
      <c r="AM5" s="111"/>
      <c r="AN5" s="112"/>
      <c r="AO5" s="26"/>
      <c r="AP5" s="79">
        <v>45113</v>
      </c>
      <c r="AQ5" s="69">
        <v>45113.625</v>
      </c>
      <c r="AR5" s="80">
        <v>16103604078</v>
      </c>
      <c r="AS5" s="81"/>
      <c r="AT5" s="82">
        <f t="shared" ref="AT5:AT19" si="1">AT$2-AP5</f>
        <v>64</v>
      </c>
      <c r="AU5" s="73" t="s">
        <v>13</v>
      </c>
      <c r="AV5" s="73">
        <v>1</v>
      </c>
      <c r="AW5" s="73" t="s">
        <v>13</v>
      </c>
      <c r="AX5" s="84">
        <v>1</v>
      </c>
      <c r="AY5" s="79">
        <v>45264</v>
      </c>
      <c r="AZ5" s="79">
        <f>AP5+145</f>
        <v>45258</v>
      </c>
      <c r="BA5" s="84" t="s">
        <v>1044</v>
      </c>
      <c r="BB5" s="84">
        <f>AY5-AP5</f>
        <v>151</v>
      </c>
      <c r="BC5" s="146" t="s">
        <v>1050</v>
      </c>
      <c r="BD5" s="84"/>
    </row>
    <row r="6" spans="1:56" s="83" customFormat="1" x14ac:dyDescent="0.3">
      <c r="A6" s="18">
        <v>2</v>
      </c>
      <c r="B6" s="67">
        <v>16286882103</v>
      </c>
      <c r="C6" s="71">
        <v>182103</v>
      </c>
      <c r="D6" s="72">
        <v>1</v>
      </c>
      <c r="E6" s="72" t="s">
        <v>104</v>
      </c>
      <c r="F6" s="102">
        <v>25367</v>
      </c>
      <c r="G6" s="74">
        <v>43067</v>
      </c>
      <c r="H6" s="139">
        <f t="shared" ref="H6:H52" si="2">($K$3-G6)/365</f>
        <v>5.6</v>
      </c>
      <c r="I6" s="74">
        <v>44896</v>
      </c>
      <c r="J6" s="70">
        <v>3</v>
      </c>
      <c r="K6" s="75">
        <f t="shared" si="0"/>
        <v>215</v>
      </c>
      <c r="L6" s="85">
        <v>92.1</v>
      </c>
      <c r="M6" s="76">
        <v>3.4</v>
      </c>
      <c r="N6" s="136">
        <v>45147</v>
      </c>
      <c r="O6" s="137">
        <v>83.86</v>
      </c>
      <c r="P6" s="137">
        <v>3.2</v>
      </c>
      <c r="Q6" s="136" t="s">
        <v>1025</v>
      </c>
      <c r="R6" s="140">
        <v>84.3</v>
      </c>
      <c r="S6" s="76">
        <v>3.1</v>
      </c>
      <c r="T6" s="76" t="s">
        <v>101</v>
      </c>
      <c r="U6" s="76" t="s">
        <v>99</v>
      </c>
      <c r="V6" s="138">
        <v>16065630217</v>
      </c>
      <c r="W6" s="73">
        <v>5</v>
      </c>
      <c r="X6" s="89">
        <v>257.60000000000002</v>
      </c>
      <c r="Y6" s="90">
        <v>204</v>
      </c>
      <c r="Z6" s="89">
        <v>246.9</v>
      </c>
      <c r="AA6" s="90">
        <v>167</v>
      </c>
      <c r="AB6" s="77">
        <v>1.58</v>
      </c>
      <c r="AC6" s="90">
        <f t="shared" ref="AC6:AC52" si="3">AB6*1000</f>
        <v>1580</v>
      </c>
      <c r="AD6" s="128">
        <f>EXP(2.859+0.011*Z6-0.002*AC6+0.275*H6-1.952)</f>
        <v>7.4105154626555105</v>
      </c>
      <c r="AE6" s="128">
        <f t="shared" ref="AE6:AE52" si="4">(AD6/(1+AD6))</f>
        <v>0.88110122329122231</v>
      </c>
      <c r="AF6" s="19">
        <v>18</v>
      </c>
      <c r="AG6" s="113">
        <v>45113.43246527778</v>
      </c>
      <c r="AH6" s="113">
        <v>45113.772187499999</v>
      </c>
      <c r="AI6" s="113">
        <v>45113.43246527778</v>
      </c>
      <c r="AJ6" s="113">
        <v>45113.772187499999</v>
      </c>
      <c r="AK6" s="78">
        <f>(AG6-$AK$2)*24</f>
        <v>51.045833333395422</v>
      </c>
      <c r="AL6" s="78">
        <f t="shared" ref="AL6" si="5">AK6+35</f>
        <v>86.045833333395422</v>
      </c>
      <c r="AM6" s="114">
        <f>(AJ6-AI6)*24</f>
        <v>8.153333333262708</v>
      </c>
      <c r="AN6" s="115">
        <v>8.153333333262708</v>
      </c>
      <c r="AO6" s="19">
        <v>9</v>
      </c>
      <c r="AP6" s="79">
        <v>45113</v>
      </c>
      <c r="AQ6" s="69">
        <v>45113.625</v>
      </c>
      <c r="AR6" s="80">
        <v>16241422709</v>
      </c>
      <c r="AS6" s="81">
        <f t="shared" ref="AS6:AS51" si="6">(AQ6-AG6)*24</f>
        <v>4.6208333332906477</v>
      </c>
      <c r="AT6" s="82">
        <f t="shared" si="1"/>
        <v>64</v>
      </c>
      <c r="AU6" s="73" t="s">
        <v>13</v>
      </c>
      <c r="AV6" s="73">
        <v>2</v>
      </c>
      <c r="AW6" s="73" t="s">
        <v>13</v>
      </c>
      <c r="AX6" s="73">
        <v>2</v>
      </c>
      <c r="AY6" s="79">
        <v>45259</v>
      </c>
      <c r="AZ6" s="79">
        <f t="shared" ref="AZ6:AZ52" si="7">AP6+145</f>
        <v>45258</v>
      </c>
      <c r="BA6" s="84" t="s">
        <v>1044</v>
      </c>
      <c r="BB6" s="84">
        <f>AY6-AP6</f>
        <v>146</v>
      </c>
      <c r="BC6" s="147"/>
      <c r="BD6" s="73"/>
    </row>
    <row r="7" spans="1:56" s="83" customFormat="1" x14ac:dyDescent="0.3">
      <c r="A7" s="18">
        <v>3</v>
      </c>
      <c r="B7" s="67">
        <v>16286882231</v>
      </c>
      <c r="C7" s="71">
        <v>182231</v>
      </c>
      <c r="D7" s="72">
        <v>1</v>
      </c>
      <c r="E7" s="72" t="s">
        <v>103</v>
      </c>
      <c r="F7" s="102">
        <v>25195</v>
      </c>
      <c r="G7" s="74">
        <v>43068</v>
      </c>
      <c r="H7" s="139">
        <f t="shared" si="2"/>
        <v>5.5972602739726032</v>
      </c>
      <c r="I7" s="74">
        <v>44890</v>
      </c>
      <c r="J7" s="68">
        <v>3</v>
      </c>
      <c r="K7" s="75">
        <f t="shared" si="0"/>
        <v>221</v>
      </c>
      <c r="L7" s="85">
        <v>69.599999999999994</v>
      </c>
      <c r="M7" s="76">
        <v>2.8</v>
      </c>
      <c r="N7" s="136">
        <v>45146</v>
      </c>
      <c r="O7" s="137">
        <v>60.48</v>
      </c>
      <c r="P7" s="137">
        <v>2.5</v>
      </c>
      <c r="Q7" s="136" t="s">
        <v>1025</v>
      </c>
      <c r="R7" s="140">
        <v>64</v>
      </c>
      <c r="S7" s="76">
        <v>2.7</v>
      </c>
      <c r="T7" s="76" t="s">
        <v>101</v>
      </c>
      <c r="U7" s="76" t="s">
        <v>1023</v>
      </c>
      <c r="V7" s="138">
        <v>16123620180</v>
      </c>
      <c r="W7" s="73">
        <v>5</v>
      </c>
      <c r="X7" s="89">
        <v>388.1</v>
      </c>
      <c r="Y7" s="90">
        <v>206</v>
      </c>
      <c r="Z7" s="89">
        <v>375.7</v>
      </c>
      <c r="AA7" s="90">
        <v>173</v>
      </c>
      <c r="AB7" s="77">
        <v>1.37</v>
      </c>
      <c r="AC7" s="90">
        <f t="shared" si="3"/>
        <v>1370</v>
      </c>
      <c r="AD7" s="128">
        <f t="shared" ref="AD7:AD52" si="8">EXP(1.741+0.011*Z7-0.002*AC7+0.275*H7-1.952)</f>
        <v>15.194698366649376</v>
      </c>
      <c r="AE7" s="128">
        <f t="shared" si="4"/>
        <v>0.93825139700907589</v>
      </c>
      <c r="AF7" s="19"/>
      <c r="AG7" s="113"/>
      <c r="AH7" s="113"/>
      <c r="AI7" s="113"/>
      <c r="AJ7" s="113"/>
      <c r="AK7" s="78"/>
      <c r="AL7" s="78"/>
      <c r="AM7" s="114"/>
      <c r="AN7" s="115"/>
      <c r="AO7" s="19"/>
      <c r="AP7" s="79">
        <v>45113</v>
      </c>
      <c r="AQ7" s="69">
        <v>45113.625</v>
      </c>
      <c r="AR7" s="80">
        <v>16367304303</v>
      </c>
      <c r="AS7" s="81"/>
      <c r="AT7" s="82">
        <f t="shared" si="1"/>
        <v>64</v>
      </c>
      <c r="AU7" s="73" t="s">
        <v>1024</v>
      </c>
      <c r="AV7" s="73">
        <v>2</v>
      </c>
      <c r="AW7" s="73"/>
      <c r="AX7" s="73">
        <v>4</v>
      </c>
      <c r="AY7" s="79">
        <v>45276</v>
      </c>
      <c r="AZ7" s="79">
        <f t="shared" si="7"/>
        <v>45258</v>
      </c>
      <c r="BA7" s="73" t="s">
        <v>1045</v>
      </c>
      <c r="BB7" s="145">
        <f>AY7-AP7</f>
        <v>163</v>
      </c>
      <c r="BC7" s="146" t="s">
        <v>1050</v>
      </c>
      <c r="BD7" s="73"/>
    </row>
    <row r="8" spans="1:56" s="83" customFormat="1" x14ac:dyDescent="0.3">
      <c r="A8" s="18">
        <v>4</v>
      </c>
      <c r="B8" s="67">
        <v>16286892010</v>
      </c>
      <c r="C8" s="71">
        <v>192010</v>
      </c>
      <c r="D8" s="72">
        <v>1</v>
      </c>
      <c r="E8" s="72" t="s">
        <v>112</v>
      </c>
      <c r="F8" s="102">
        <v>25283</v>
      </c>
      <c r="G8" s="74">
        <v>43429</v>
      </c>
      <c r="H8" s="139">
        <f t="shared" si="2"/>
        <v>4.6082191780821917</v>
      </c>
      <c r="I8" s="74">
        <v>44893</v>
      </c>
      <c r="J8" s="68">
        <v>1</v>
      </c>
      <c r="K8" s="75">
        <f t="shared" si="0"/>
        <v>218</v>
      </c>
      <c r="L8" s="85">
        <v>79</v>
      </c>
      <c r="M8" s="76">
        <v>3.3</v>
      </c>
      <c r="N8" s="136">
        <v>45147</v>
      </c>
      <c r="O8" s="137">
        <v>72.17</v>
      </c>
      <c r="P8" s="137">
        <v>2.9</v>
      </c>
      <c r="Q8" s="136" t="s">
        <v>1025</v>
      </c>
      <c r="R8" s="140">
        <v>73.5</v>
      </c>
      <c r="S8" s="76">
        <v>3</v>
      </c>
      <c r="T8" s="76" t="s">
        <v>110</v>
      </c>
      <c r="U8" s="76" t="s">
        <v>99</v>
      </c>
      <c r="V8" s="138">
        <v>16179370379</v>
      </c>
      <c r="W8" s="73">
        <v>4</v>
      </c>
      <c r="X8" s="89">
        <v>410.1</v>
      </c>
      <c r="Y8" s="90">
        <v>204</v>
      </c>
      <c r="Z8" s="89">
        <v>342</v>
      </c>
      <c r="AA8" s="90">
        <v>170</v>
      </c>
      <c r="AB8" s="77">
        <v>1.68</v>
      </c>
      <c r="AC8" s="90">
        <f t="shared" si="3"/>
        <v>1680</v>
      </c>
      <c r="AD8" s="128">
        <f t="shared" ref="AD8:AD9" si="9">EXP(2.859+0.011*Z8-0.002*AC8+0.275*H8-1.952)</f>
        <v>13.147876648286069</v>
      </c>
      <c r="AE8" s="128">
        <f t="shared" si="4"/>
        <v>0.92931801535595493</v>
      </c>
      <c r="AF8" s="19">
        <v>17</v>
      </c>
      <c r="AG8" s="113">
        <v>45113.431307870371</v>
      </c>
      <c r="AH8" s="113">
        <v>45114.606770833336</v>
      </c>
      <c r="AI8" s="113">
        <v>45113.431307870371</v>
      </c>
      <c r="AJ8" s="113">
        <v>45114.606770833336</v>
      </c>
      <c r="AK8" s="78">
        <f t="shared" ref="AK8:AK51" si="10">(AG8-$AK$2)*24</f>
        <v>51.018055555585306</v>
      </c>
      <c r="AL8" s="78">
        <f t="shared" ref="AL8:AL51" si="11">AK8+35</f>
        <v>86.018055555585306</v>
      </c>
      <c r="AM8" s="114">
        <f>(AJ8-AI8)*24</f>
        <v>28.211111111158971</v>
      </c>
      <c r="AN8" s="115">
        <v>28.211111111158971</v>
      </c>
      <c r="AO8" s="19">
        <v>5</v>
      </c>
      <c r="AP8" s="79">
        <v>45113</v>
      </c>
      <c r="AQ8" s="69">
        <v>45113.625</v>
      </c>
      <c r="AR8" s="80">
        <v>16103604305</v>
      </c>
      <c r="AS8" s="81">
        <f t="shared" si="6"/>
        <v>4.6486111111007631</v>
      </c>
      <c r="AT8" s="82">
        <f t="shared" si="1"/>
        <v>64</v>
      </c>
      <c r="AU8" s="73" t="s">
        <v>1027</v>
      </c>
      <c r="AV8" s="73"/>
      <c r="AW8" s="73"/>
      <c r="AX8" s="73"/>
      <c r="AY8" s="79"/>
      <c r="AZ8" s="79">
        <f t="shared" si="7"/>
        <v>45258</v>
      </c>
      <c r="BA8" s="73"/>
      <c r="BB8" s="73"/>
      <c r="BC8" s="147"/>
      <c r="BD8" s="73"/>
    </row>
    <row r="9" spans="1:56" s="83" customFormat="1" x14ac:dyDescent="0.3">
      <c r="A9" s="18">
        <v>5</v>
      </c>
      <c r="B9" s="67">
        <v>16286892072</v>
      </c>
      <c r="C9" s="71">
        <v>192072</v>
      </c>
      <c r="D9" s="72">
        <v>1</v>
      </c>
      <c r="E9" s="72" t="s">
        <v>105</v>
      </c>
      <c r="F9" s="102">
        <v>25800</v>
      </c>
      <c r="G9" s="74">
        <v>43431</v>
      </c>
      <c r="H9" s="139">
        <f t="shared" si="2"/>
        <v>4.602739726027397</v>
      </c>
      <c r="I9" s="74">
        <v>44895</v>
      </c>
      <c r="J9" s="68">
        <v>2</v>
      </c>
      <c r="K9" s="75">
        <f t="shared" si="0"/>
        <v>216</v>
      </c>
      <c r="L9" s="85">
        <v>71</v>
      </c>
      <c r="M9" s="76">
        <v>3.5</v>
      </c>
      <c r="N9" s="136">
        <v>45147</v>
      </c>
      <c r="O9" s="137">
        <v>70.180000000000007</v>
      </c>
      <c r="P9" s="137">
        <v>3.3</v>
      </c>
      <c r="Q9" s="136" t="s">
        <v>1025</v>
      </c>
      <c r="R9" s="140">
        <v>70.5</v>
      </c>
      <c r="S9" s="76">
        <v>3.2</v>
      </c>
      <c r="T9" s="76" t="s">
        <v>101</v>
      </c>
      <c r="U9" s="76" t="s">
        <v>1026</v>
      </c>
      <c r="V9" s="138">
        <v>16330840049</v>
      </c>
      <c r="W9" s="73">
        <v>4</v>
      </c>
      <c r="X9" s="89">
        <v>348.4</v>
      </c>
      <c r="Y9" s="90">
        <v>197</v>
      </c>
      <c r="Z9" s="89">
        <v>333.6</v>
      </c>
      <c r="AA9" s="90">
        <v>168</v>
      </c>
      <c r="AB9" s="77">
        <v>1.31</v>
      </c>
      <c r="AC9" s="90">
        <f t="shared" si="3"/>
        <v>1310</v>
      </c>
      <c r="AD9" s="128">
        <f t="shared" si="9"/>
        <v>25.087091341377182</v>
      </c>
      <c r="AE9" s="128">
        <f t="shared" si="4"/>
        <v>0.96166686477561092</v>
      </c>
      <c r="AF9" s="19">
        <v>28</v>
      </c>
      <c r="AG9" s="113">
        <v>45113.946377314816</v>
      </c>
      <c r="AH9" s="113">
        <v>45114.51599537037</v>
      </c>
      <c r="AI9" s="113">
        <v>45113.946377314816</v>
      </c>
      <c r="AJ9" s="113">
        <v>45114.51599537037</v>
      </c>
      <c r="AK9" s="78">
        <f t="shared" si="10"/>
        <v>63.37972222227836</v>
      </c>
      <c r="AL9" s="78">
        <f t="shared" si="11"/>
        <v>98.37972222227836</v>
      </c>
      <c r="AM9" s="114">
        <f>(AJ9-AI9)*24</f>
        <v>13.670833333279006</v>
      </c>
      <c r="AN9" s="115">
        <v>13.670833333279006</v>
      </c>
      <c r="AO9" s="19">
        <v>4</v>
      </c>
      <c r="AP9" s="79">
        <v>45113</v>
      </c>
      <c r="AQ9" s="69">
        <v>45113.625</v>
      </c>
      <c r="AR9" s="80">
        <v>55131900500</v>
      </c>
      <c r="AS9" s="81">
        <f t="shared" si="6"/>
        <v>-7.7130555555922911</v>
      </c>
      <c r="AT9" s="82">
        <f t="shared" si="1"/>
        <v>64</v>
      </c>
      <c r="AU9" s="73" t="s">
        <v>13</v>
      </c>
      <c r="AV9" s="73">
        <v>2</v>
      </c>
      <c r="AW9" s="73" t="s">
        <v>13</v>
      </c>
      <c r="AX9" s="73">
        <v>2</v>
      </c>
      <c r="AY9" s="79">
        <v>45264</v>
      </c>
      <c r="AZ9" s="79">
        <f t="shared" si="7"/>
        <v>45258</v>
      </c>
      <c r="BA9" s="84" t="s">
        <v>1044</v>
      </c>
      <c r="BB9" s="84">
        <f t="shared" ref="BB9:BB37" si="12">AY9-AP9</f>
        <v>151</v>
      </c>
      <c r="BC9" s="147" t="s">
        <v>1046</v>
      </c>
      <c r="BD9" s="73"/>
    </row>
    <row r="10" spans="1:56" s="83" customFormat="1" x14ac:dyDescent="0.3">
      <c r="A10" s="18">
        <v>6</v>
      </c>
      <c r="B10" s="67">
        <v>16286892139</v>
      </c>
      <c r="C10" s="71">
        <v>192139</v>
      </c>
      <c r="D10" s="72">
        <v>1</v>
      </c>
      <c r="E10" s="72" t="s">
        <v>107</v>
      </c>
      <c r="F10" s="102">
        <v>25958</v>
      </c>
      <c r="G10" s="74">
        <v>43432</v>
      </c>
      <c r="H10" s="139">
        <f t="shared" si="2"/>
        <v>4.5999999999999996</v>
      </c>
      <c r="I10" s="74">
        <v>44896</v>
      </c>
      <c r="J10" s="68">
        <v>2</v>
      </c>
      <c r="K10" s="75">
        <f t="shared" si="0"/>
        <v>215</v>
      </c>
      <c r="L10" s="85">
        <v>60.7</v>
      </c>
      <c r="M10" s="76">
        <v>2.7</v>
      </c>
      <c r="N10" s="136">
        <v>45146</v>
      </c>
      <c r="O10" s="137">
        <v>56.97</v>
      </c>
      <c r="P10" s="137">
        <v>2.6</v>
      </c>
      <c r="Q10" s="136" t="s">
        <v>1025</v>
      </c>
      <c r="R10" s="140">
        <v>61.8</v>
      </c>
      <c r="S10" s="76">
        <v>2.9</v>
      </c>
      <c r="T10" s="76" t="s">
        <v>101</v>
      </c>
      <c r="U10" s="76" t="s">
        <v>1023</v>
      </c>
      <c r="V10" s="138">
        <v>16189830040</v>
      </c>
      <c r="W10" s="73">
        <v>4</v>
      </c>
      <c r="X10" s="89">
        <v>296.60000000000002</v>
      </c>
      <c r="Y10" s="90">
        <v>199</v>
      </c>
      <c r="Z10" s="89">
        <v>327.7</v>
      </c>
      <c r="AA10" s="90">
        <v>167</v>
      </c>
      <c r="AB10" s="77">
        <v>1.48</v>
      </c>
      <c r="AC10" s="90">
        <f t="shared" si="3"/>
        <v>1480</v>
      </c>
      <c r="AD10" s="128">
        <f t="shared" si="8"/>
        <v>5.4668358835997726</v>
      </c>
      <c r="AE10" s="128">
        <f t="shared" si="4"/>
        <v>0.84536487116735848</v>
      </c>
      <c r="AF10" s="19"/>
      <c r="AG10" s="113"/>
      <c r="AH10" s="113"/>
      <c r="AI10" s="113"/>
      <c r="AJ10" s="113"/>
      <c r="AK10" s="78"/>
      <c r="AL10" s="78"/>
      <c r="AM10" s="114"/>
      <c r="AN10" s="115"/>
      <c r="AO10" s="19"/>
      <c r="AP10" s="79">
        <v>45113</v>
      </c>
      <c r="AQ10" s="69">
        <v>45113.625</v>
      </c>
      <c r="AR10" s="80">
        <v>16348503344</v>
      </c>
      <c r="AS10" s="81"/>
      <c r="AT10" s="82">
        <f t="shared" si="1"/>
        <v>64</v>
      </c>
      <c r="AU10" s="73" t="s">
        <v>1024</v>
      </c>
      <c r="AV10" s="73">
        <v>2</v>
      </c>
      <c r="AW10" s="73"/>
      <c r="AX10" s="73">
        <v>2</v>
      </c>
      <c r="AY10" s="79">
        <v>45278</v>
      </c>
      <c r="AZ10" s="79">
        <f t="shared" si="7"/>
        <v>45258</v>
      </c>
      <c r="BA10" s="73" t="s">
        <v>1045</v>
      </c>
      <c r="BB10" s="145">
        <f t="shared" si="12"/>
        <v>165</v>
      </c>
      <c r="BC10" s="146" t="s">
        <v>1050</v>
      </c>
      <c r="BD10" s="73"/>
    </row>
    <row r="11" spans="1:56" s="83" customFormat="1" x14ac:dyDescent="0.3">
      <c r="A11" s="18">
        <v>7</v>
      </c>
      <c r="B11" s="67">
        <v>16286892193</v>
      </c>
      <c r="C11" s="71">
        <v>192193</v>
      </c>
      <c r="D11" s="72">
        <v>1</v>
      </c>
      <c r="E11" s="72" t="s">
        <v>108</v>
      </c>
      <c r="F11" s="102">
        <v>25232</v>
      </c>
      <c r="G11" s="74">
        <v>43432</v>
      </c>
      <c r="H11" s="139">
        <f t="shared" si="2"/>
        <v>4.5999999999999996</v>
      </c>
      <c r="I11" s="74">
        <v>44896</v>
      </c>
      <c r="J11" s="68">
        <v>2</v>
      </c>
      <c r="K11" s="75">
        <f t="shared" si="0"/>
        <v>215</v>
      </c>
      <c r="L11" s="85">
        <v>68.400000000000006</v>
      </c>
      <c r="M11" s="76">
        <v>2.7</v>
      </c>
      <c r="N11" s="136">
        <v>45147</v>
      </c>
      <c r="O11" s="137">
        <v>59.8</v>
      </c>
      <c r="P11" s="137">
        <v>2.7</v>
      </c>
      <c r="Q11" s="136" t="s">
        <v>1025</v>
      </c>
      <c r="R11" s="140">
        <v>61.3</v>
      </c>
      <c r="S11" s="76">
        <v>2.7</v>
      </c>
      <c r="T11" s="76" t="s">
        <v>101</v>
      </c>
      <c r="U11" s="76" t="s">
        <v>99</v>
      </c>
      <c r="V11" s="138">
        <v>16067271245</v>
      </c>
      <c r="W11" s="73">
        <v>4</v>
      </c>
      <c r="X11" s="89">
        <v>435.7</v>
      </c>
      <c r="Y11" s="90">
        <v>202</v>
      </c>
      <c r="Z11" s="89">
        <v>412.4</v>
      </c>
      <c r="AA11" s="90">
        <v>167</v>
      </c>
      <c r="AB11" s="77">
        <v>1.52</v>
      </c>
      <c r="AC11" s="90">
        <f t="shared" si="3"/>
        <v>1520</v>
      </c>
      <c r="AD11" s="128">
        <f t="shared" si="8"/>
        <v>12.81222764888102</v>
      </c>
      <c r="AE11" s="128">
        <f t="shared" si="4"/>
        <v>0.92760038239877884</v>
      </c>
      <c r="AF11" s="19">
        <v>19</v>
      </c>
      <c r="AG11" s="113">
        <v>45113.450312499997</v>
      </c>
      <c r="AH11" s="113">
        <v>45113.708668981482</v>
      </c>
      <c r="AI11" s="113">
        <v>45113.450312499997</v>
      </c>
      <c r="AJ11" s="113">
        <v>45113.708668981482</v>
      </c>
      <c r="AK11" s="78">
        <f t="shared" si="10"/>
        <v>51.474166666623205</v>
      </c>
      <c r="AL11" s="78">
        <f t="shared" si="11"/>
        <v>86.474166666623205</v>
      </c>
      <c r="AM11" s="114">
        <f>(AJ11-AI11)*24</f>
        <v>6.2005555556388572</v>
      </c>
      <c r="AN11" s="115">
        <v>6.2005555556388572</v>
      </c>
      <c r="AO11" s="19">
        <v>7</v>
      </c>
      <c r="AP11" s="79">
        <v>45113</v>
      </c>
      <c r="AQ11" s="69">
        <v>45113.625</v>
      </c>
      <c r="AR11" s="80">
        <v>16164221019</v>
      </c>
      <c r="AS11" s="81">
        <f t="shared" si="6"/>
        <v>4.1925000000628643</v>
      </c>
      <c r="AT11" s="82">
        <f t="shared" si="1"/>
        <v>64</v>
      </c>
      <c r="AU11" s="73" t="s">
        <v>13</v>
      </c>
      <c r="AV11" s="73">
        <v>2</v>
      </c>
      <c r="AW11" s="73" t="s">
        <v>13</v>
      </c>
      <c r="AX11" s="73">
        <v>2</v>
      </c>
      <c r="AY11" s="79">
        <v>45260</v>
      </c>
      <c r="AZ11" s="79">
        <f t="shared" si="7"/>
        <v>45258</v>
      </c>
      <c r="BA11" s="84" t="s">
        <v>1044</v>
      </c>
      <c r="BB11" s="84">
        <f t="shared" si="12"/>
        <v>147</v>
      </c>
      <c r="BC11" s="147"/>
      <c r="BD11" s="73"/>
    </row>
    <row r="12" spans="1:56" s="83" customFormat="1" x14ac:dyDescent="0.3">
      <c r="A12" s="18">
        <v>8</v>
      </c>
      <c r="B12" s="67">
        <v>16286892249</v>
      </c>
      <c r="C12" s="71">
        <v>192249</v>
      </c>
      <c r="D12" s="72">
        <v>1</v>
      </c>
      <c r="E12" s="72" t="s">
        <v>109</v>
      </c>
      <c r="F12" s="102">
        <v>26012</v>
      </c>
      <c r="G12" s="74">
        <v>43433</v>
      </c>
      <c r="H12" s="139">
        <f t="shared" si="2"/>
        <v>4.5972602739726032</v>
      </c>
      <c r="I12" s="74">
        <v>44895</v>
      </c>
      <c r="J12" s="68">
        <v>2</v>
      </c>
      <c r="K12" s="75">
        <f t="shared" si="0"/>
        <v>216</v>
      </c>
      <c r="L12" s="85">
        <v>65.7</v>
      </c>
      <c r="M12" s="76">
        <v>3.2</v>
      </c>
      <c r="N12" s="136">
        <v>45145</v>
      </c>
      <c r="O12" s="137">
        <v>60.55</v>
      </c>
      <c r="P12" s="137">
        <v>2.8</v>
      </c>
      <c r="Q12" s="136" t="s">
        <v>1025</v>
      </c>
      <c r="R12" s="140">
        <v>63.4</v>
      </c>
      <c r="S12" s="76">
        <v>3.3</v>
      </c>
      <c r="T12" s="76" t="s">
        <v>101</v>
      </c>
      <c r="U12" s="76" t="s">
        <v>99</v>
      </c>
      <c r="V12" s="138">
        <v>16039870314</v>
      </c>
      <c r="W12" s="73">
        <v>4</v>
      </c>
      <c r="X12" s="89">
        <v>349</v>
      </c>
      <c r="Y12" s="90">
        <v>201</v>
      </c>
      <c r="Z12" s="89">
        <v>301</v>
      </c>
      <c r="AA12" s="90">
        <v>168</v>
      </c>
      <c r="AB12" s="77">
        <v>1.08</v>
      </c>
      <c r="AC12" s="90">
        <f t="shared" si="3"/>
        <v>1080</v>
      </c>
      <c r="AD12" s="128">
        <f>EXP(2.859+0.011*Z12-0.002*AC12+0.275*H12-1.952)</f>
        <v>27.722561474635175</v>
      </c>
      <c r="AE12" s="128">
        <f t="shared" si="4"/>
        <v>0.96518416364490689</v>
      </c>
      <c r="AF12" s="19">
        <v>22</v>
      </c>
      <c r="AG12" s="113">
        <v>45113.611909722225</v>
      </c>
      <c r="AH12" s="113">
        <v>45114.649270833332</v>
      </c>
      <c r="AI12" s="113">
        <v>45113.611909722225</v>
      </c>
      <c r="AJ12" s="113">
        <v>45114.649270833332</v>
      </c>
      <c r="AK12" s="78">
        <f t="shared" si="10"/>
        <v>55.352500000095461</v>
      </c>
      <c r="AL12" s="78">
        <f t="shared" si="11"/>
        <v>90.352500000095461</v>
      </c>
      <c r="AM12" s="114">
        <f>(AJ12-AI12)*24</f>
        <v>24.896666666551027</v>
      </c>
      <c r="AN12" s="115">
        <v>24.896666666551027</v>
      </c>
      <c r="AO12" s="19">
        <v>20</v>
      </c>
      <c r="AP12" s="79">
        <v>45113</v>
      </c>
      <c r="AQ12" s="69">
        <v>45113.625</v>
      </c>
      <c r="AR12" s="80">
        <v>16282721383</v>
      </c>
      <c r="AS12" s="81">
        <f t="shared" si="6"/>
        <v>0.31416666659060866</v>
      </c>
      <c r="AT12" s="82">
        <f t="shared" si="1"/>
        <v>64</v>
      </c>
      <c r="AU12" s="73" t="s">
        <v>13</v>
      </c>
      <c r="AV12" s="73">
        <v>1</v>
      </c>
      <c r="AW12" s="73" t="s">
        <v>13</v>
      </c>
      <c r="AX12" s="73">
        <v>1</v>
      </c>
      <c r="AY12" s="79">
        <v>45261</v>
      </c>
      <c r="AZ12" s="79">
        <f t="shared" si="7"/>
        <v>45258</v>
      </c>
      <c r="BA12" s="84" t="s">
        <v>1044</v>
      </c>
      <c r="BB12" s="84">
        <f t="shared" si="12"/>
        <v>148</v>
      </c>
      <c r="BC12" s="147"/>
      <c r="BD12" s="73"/>
    </row>
    <row r="13" spans="1:56" s="83" customFormat="1" x14ac:dyDescent="0.3">
      <c r="A13" s="18">
        <v>9</v>
      </c>
      <c r="B13" s="67">
        <v>16286892333</v>
      </c>
      <c r="C13" s="71">
        <v>192333</v>
      </c>
      <c r="D13" s="72">
        <v>1</v>
      </c>
      <c r="E13" s="72" t="s">
        <v>111</v>
      </c>
      <c r="F13" s="102">
        <v>25697</v>
      </c>
      <c r="G13" s="74">
        <v>43433</v>
      </c>
      <c r="H13" s="139">
        <f t="shared" si="2"/>
        <v>4.5972602739726032</v>
      </c>
      <c r="I13" s="74">
        <v>44896</v>
      </c>
      <c r="J13" s="68">
        <v>2</v>
      </c>
      <c r="K13" s="75">
        <f t="shared" si="0"/>
        <v>215</v>
      </c>
      <c r="L13" s="85">
        <v>68.5</v>
      </c>
      <c r="M13" s="76">
        <v>2.7</v>
      </c>
      <c r="N13" s="136">
        <v>45147</v>
      </c>
      <c r="O13" s="137">
        <v>64.900000000000006</v>
      </c>
      <c r="P13" s="137">
        <v>2.8</v>
      </c>
      <c r="Q13" s="136" t="s">
        <v>1025</v>
      </c>
      <c r="R13" s="140">
        <v>69.599999999999994</v>
      </c>
      <c r="S13" s="76">
        <v>2.9</v>
      </c>
      <c r="T13" s="76" t="s">
        <v>110</v>
      </c>
      <c r="U13" s="76" t="s">
        <v>99</v>
      </c>
      <c r="V13" s="138">
        <v>28034770136</v>
      </c>
      <c r="W13" s="73">
        <v>4</v>
      </c>
      <c r="X13" s="89">
        <v>435.1</v>
      </c>
      <c r="Y13" s="90">
        <v>200</v>
      </c>
      <c r="Z13" s="89">
        <v>426.8</v>
      </c>
      <c r="AA13" s="90">
        <v>167</v>
      </c>
      <c r="AB13" s="77">
        <v>2.0499999999999998</v>
      </c>
      <c r="AC13" s="90">
        <f t="shared" si="3"/>
        <v>2050</v>
      </c>
      <c r="AD13" s="128">
        <f t="shared" si="8"/>
        <v>5.1968183125020726</v>
      </c>
      <c r="AE13" s="128">
        <f t="shared" si="4"/>
        <v>0.83862686469562919</v>
      </c>
      <c r="AF13" s="19"/>
      <c r="AG13" s="113"/>
      <c r="AH13" s="113"/>
      <c r="AI13" s="113"/>
      <c r="AJ13" s="113"/>
      <c r="AK13" s="78"/>
      <c r="AL13" s="78"/>
      <c r="AM13" s="114"/>
      <c r="AN13" s="115"/>
      <c r="AO13" s="19"/>
      <c r="AP13" s="79">
        <v>45113</v>
      </c>
      <c r="AQ13" s="69">
        <v>45113.625</v>
      </c>
      <c r="AR13" s="80">
        <v>55113411043</v>
      </c>
      <c r="AS13" s="81"/>
      <c r="AT13" s="82">
        <f t="shared" si="1"/>
        <v>64</v>
      </c>
      <c r="AU13" s="73" t="s">
        <v>13</v>
      </c>
      <c r="AV13" s="73">
        <v>2</v>
      </c>
      <c r="AW13" s="73" t="s">
        <v>13</v>
      </c>
      <c r="AX13" s="73">
        <v>2</v>
      </c>
      <c r="AY13" s="79">
        <v>45262</v>
      </c>
      <c r="AZ13" s="79">
        <f t="shared" si="7"/>
        <v>45258</v>
      </c>
      <c r="BA13" s="84" t="s">
        <v>1044</v>
      </c>
      <c r="BB13" s="84">
        <f t="shared" si="12"/>
        <v>149</v>
      </c>
      <c r="BC13" s="146" t="s">
        <v>1050</v>
      </c>
      <c r="BD13" s="73"/>
    </row>
    <row r="14" spans="1:56" s="83" customFormat="1" x14ac:dyDescent="0.3">
      <c r="A14" s="18">
        <v>10</v>
      </c>
      <c r="B14" s="67">
        <v>16286892472</v>
      </c>
      <c r="C14" s="71">
        <v>192472</v>
      </c>
      <c r="D14" s="72">
        <v>1</v>
      </c>
      <c r="E14" s="72" t="s">
        <v>106</v>
      </c>
      <c r="F14" s="102">
        <v>25046</v>
      </c>
      <c r="G14" s="74">
        <v>43436</v>
      </c>
      <c r="H14" s="139">
        <f t="shared" si="2"/>
        <v>4.5890410958904111</v>
      </c>
      <c r="I14" s="74">
        <v>44898</v>
      </c>
      <c r="J14" s="68">
        <v>2</v>
      </c>
      <c r="K14" s="75">
        <f t="shared" si="0"/>
        <v>213</v>
      </c>
      <c r="L14" s="85">
        <v>82</v>
      </c>
      <c r="M14" s="76">
        <v>3.3</v>
      </c>
      <c r="N14" s="136">
        <v>45146</v>
      </c>
      <c r="O14" s="137">
        <v>71.64</v>
      </c>
      <c r="P14" s="137">
        <v>2.8</v>
      </c>
      <c r="Q14" s="136" t="s">
        <v>1025</v>
      </c>
      <c r="R14" s="140">
        <v>76.5</v>
      </c>
      <c r="S14" s="76">
        <v>3</v>
      </c>
      <c r="T14" s="76" t="s">
        <v>101</v>
      </c>
      <c r="U14" s="76" t="s">
        <v>1023</v>
      </c>
      <c r="V14" s="138">
        <v>16294750264</v>
      </c>
      <c r="W14" s="73">
        <v>4</v>
      </c>
      <c r="X14" s="89">
        <v>387.5</v>
      </c>
      <c r="Y14" s="90">
        <v>199</v>
      </c>
      <c r="Z14" s="89">
        <v>299.3</v>
      </c>
      <c r="AA14" s="90">
        <v>165</v>
      </c>
      <c r="AB14" s="77">
        <v>1.42</v>
      </c>
      <c r="AC14" s="90">
        <f t="shared" si="3"/>
        <v>1420</v>
      </c>
      <c r="AD14" s="128">
        <f>EXP(2.859+0.011*Z14-0.002*AC14+0.275*H14-1.952)</f>
        <v>13.753403233381709</v>
      </c>
      <c r="AE14" s="128">
        <f t="shared" si="4"/>
        <v>0.93221902877721419</v>
      </c>
      <c r="AF14" s="19"/>
      <c r="AG14" s="113"/>
      <c r="AH14" s="113"/>
      <c r="AI14" s="113"/>
      <c r="AJ14" s="113"/>
      <c r="AK14" s="78"/>
      <c r="AL14" s="78"/>
      <c r="AM14" s="114"/>
      <c r="AN14" s="115"/>
      <c r="AO14" s="19"/>
      <c r="AP14" s="79">
        <v>45113</v>
      </c>
      <c r="AQ14" s="69">
        <v>45113.625</v>
      </c>
      <c r="AR14" s="80">
        <v>16025403352</v>
      </c>
      <c r="AS14" s="81"/>
      <c r="AT14" s="82">
        <f t="shared" si="1"/>
        <v>64</v>
      </c>
      <c r="AU14" s="73" t="s">
        <v>1024</v>
      </c>
      <c r="AV14" s="73">
        <v>2</v>
      </c>
      <c r="AW14" s="73"/>
      <c r="AX14" s="73">
        <v>1</v>
      </c>
      <c r="AY14" s="79">
        <v>45278</v>
      </c>
      <c r="AZ14" s="79">
        <f t="shared" si="7"/>
        <v>45258</v>
      </c>
      <c r="BA14" s="73" t="s">
        <v>1045</v>
      </c>
      <c r="BB14" s="145">
        <f t="shared" si="12"/>
        <v>165</v>
      </c>
      <c r="BC14" s="146" t="s">
        <v>1050</v>
      </c>
      <c r="BD14" s="73"/>
    </row>
    <row r="15" spans="1:56" s="83" customFormat="1" x14ac:dyDescent="0.3">
      <c r="A15" s="18">
        <v>11</v>
      </c>
      <c r="B15" s="67">
        <v>16286802045</v>
      </c>
      <c r="C15" s="71">
        <v>202045</v>
      </c>
      <c r="D15" s="72">
        <v>1</v>
      </c>
      <c r="E15" s="72" t="s">
        <v>118</v>
      </c>
      <c r="F15" s="102">
        <v>25701</v>
      </c>
      <c r="G15" s="74">
        <v>43794</v>
      </c>
      <c r="H15" s="139">
        <f t="shared" si="2"/>
        <v>3.6082191780821917</v>
      </c>
      <c r="I15" s="74">
        <v>44896</v>
      </c>
      <c r="J15" s="68">
        <v>2</v>
      </c>
      <c r="K15" s="75">
        <f t="shared" si="0"/>
        <v>215</v>
      </c>
      <c r="L15" s="85">
        <v>77.400000000000006</v>
      </c>
      <c r="M15" s="76">
        <v>2.8</v>
      </c>
      <c r="N15" s="136">
        <v>45147</v>
      </c>
      <c r="O15" s="137">
        <v>73.8</v>
      </c>
      <c r="P15" s="137">
        <v>2.9</v>
      </c>
      <c r="Q15" s="136" t="s">
        <v>1025</v>
      </c>
      <c r="R15" s="140">
        <v>75.099999999999994</v>
      </c>
      <c r="S15" s="76">
        <v>2.8</v>
      </c>
      <c r="T15" s="76" t="s">
        <v>101</v>
      </c>
      <c r="U15" s="76" t="s">
        <v>99</v>
      </c>
      <c r="V15" s="138">
        <v>55115670198</v>
      </c>
      <c r="W15" s="73">
        <v>3</v>
      </c>
      <c r="X15" s="89">
        <v>405.1</v>
      </c>
      <c r="Y15" s="90">
        <v>198</v>
      </c>
      <c r="Z15" s="89">
        <v>386.9</v>
      </c>
      <c r="AA15" s="90">
        <v>167</v>
      </c>
      <c r="AB15" s="77">
        <v>1.6</v>
      </c>
      <c r="AC15" s="90">
        <f t="shared" si="3"/>
        <v>1600</v>
      </c>
      <c r="AD15" s="128">
        <f t="shared" si="8"/>
        <v>6.2786831812104316</v>
      </c>
      <c r="AE15" s="128">
        <f t="shared" si="4"/>
        <v>0.86261251175467402</v>
      </c>
      <c r="AF15" s="19">
        <v>4</v>
      </c>
      <c r="AG15" s="113">
        <v>45111.870462962965</v>
      </c>
      <c r="AH15" s="113">
        <v>45113.684918981482</v>
      </c>
      <c r="AI15" s="113">
        <v>45111.870462962965</v>
      </c>
      <c r="AJ15" s="113">
        <v>45113.684918981482</v>
      </c>
      <c r="AK15" s="78">
        <f t="shared" si="10"/>
        <v>13.557777777838055</v>
      </c>
      <c r="AL15" s="78">
        <f t="shared" si="11"/>
        <v>48.557777777838055</v>
      </c>
      <c r="AM15" s="114">
        <f>(AJ15-AI15)*24</f>
        <v>43.546944444417022</v>
      </c>
      <c r="AN15" s="115">
        <v>43.546944444417022</v>
      </c>
      <c r="AO15" s="19">
        <v>8</v>
      </c>
      <c r="AP15" s="79">
        <v>45113</v>
      </c>
      <c r="AQ15" s="69">
        <v>45113.625</v>
      </c>
      <c r="AR15" s="80">
        <v>16103604305</v>
      </c>
      <c r="AS15" s="81">
        <f t="shared" si="6"/>
        <v>42.108888888848014</v>
      </c>
      <c r="AT15" s="82">
        <f t="shared" si="1"/>
        <v>64</v>
      </c>
      <c r="AU15" s="73" t="s">
        <v>13</v>
      </c>
      <c r="AV15" s="73">
        <v>1</v>
      </c>
      <c r="AW15" s="73" t="s">
        <v>13</v>
      </c>
      <c r="AX15" s="73">
        <v>1</v>
      </c>
      <c r="AY15" s="79">
        <v>45264</v>
      </c>
      <c r="AZ15" s="79">
        <f t="shared" si="7"/>
        <v>45258</v>
      </c>
      <c r="BA15" s="84" t="s">
        <v>1044</v>
      </c>
      <c r="BB15" s="84">
        <f t="shared" si="12"/>
        <v>151</v>
      </c>
      <c r="BC15" s="147"/>
      <c r="BD15" s="73"/>
    </row>
    <row r="16" spans="1:56" s="83" customFormat="1" x14ac:dyDescent="0.3">
      <c r="A16" s="18">
        <v>12</v>
      </c>
      <c r="B16" s="67">
        <v>16286802053</v>
      </c>
      <c r="C16" s="71">
        <v>202053</v>
      </c>
      <c r="D16" s="72">
        <v>1</v>
      </c>
      <c r="E16" s="72" t="s">
        <v>115</v>
      </c>
      <c r="F16" s="102">
        <v>25923</v>
      </c>
      <c r="G16" s="74">
        <v>43794</v>
      </c>
      <c r="H16" s="139">
        <f t="shared" si="2"/>
        <v>3.6082191780821917</v>
      </c>
      <c r="I16" s="74">
        <v>44895</v>
      </c>
      <c r="J16" s="68">
        <v>2</v>
      </c>
      <c r="K16" s="75">
        <f t="shared" si="0"/>
        <v>216</v>
      </c>
      <c r="L16" s="85">
        <v>73.3</v>
      </c>
      <c r="M16" s="76">
        <v>2.8</v>
      </c>
      <c r="N16" s="136">
        <v>45147</v>
      </c>
      <c r="O16" s="137">
        <v>61.46</v>
      </c>
      <c r="P16" s="137">
        <v>2.7</v>
      </c>
      <c r="Q16" s="136" t="s">
        <v>1028</v>
      </c>
      <c r="R16" s="140">
        <v>72.099999999999994</v>
      </c>
      <c r="S16" s="76">
        <v>2.7</v>
      </c>
      <c r="T16" s="76" t="s">
        <v>101</v>
      </c>
      <c r="U16" s="76" t="s">
        <v>1023</v>
      </c>
      <c r="V16" s="138">
        <v>16355130187</v>
      </c>
      <c r="W16" s="73">
        <v>3</v>
      </c>
      <c r="X16" s="89">
        <v>360.4</v>
      </c>
      <c r="Y16" s="90">
        <v>166</v>
      </c>
      <c r="Z16" s="89">
        <v>361.6</v>
      </c>
      <c r="AA16" s="90">
        <v>168</v>
      </c>
      <c r="AB16" s="77">
        <v>2</v>
      </c>
      <c r="AC16" s="90">
        <f t="shared" si="3"/>
        <v>2000</v>
      </c>
      <c r="AD16" s="128">
        <f t="shared" si="8"/>
        <v>2.1358405596912169</v>
      </c>
      <c r="AE16" s="128">
        <f t="shared" si="4"/>
        <v>0.68110623580349727</v>
      </c>
      <c r="AF16" s="19">
        <v>6</v>
      </c>
      <c r="AG16" s="113">
        <v>45112.28324074074</v>
      </c>
      <c r="AH16" s="113">
        <v>45113.726342592592</v>
      </c>
      <c r="AI16" s="113">
        <v>45112.28324074074</v>
      </c>
      <c r="AJ16" s="113">
        <v>45113.726342592592</v>
      </c>
      <c r="AK16" s="78">
        <f t="shared" si="10"/>
        <v>23.464444444456603</v>
      </c>
      <c r="AL16" s="78">
        <f t="shared" si="11"/>
        <v>58.464444444456603</v>
      </c>
      <c r="AM16" s="114">
        <f>(AJ16-AI16)*24</f>
        <v>34.634444444440305</v>
      </c>
      <c r="AN16" s="115">
        <v>34.634444444440305</v>
      </c>
      <c r="AO16" s="19">
        <v>48</v>
      </c>
      <c r="AP16" s="79">
        <v>45113</v>
      </c>
      <c r="AQ16" s="69">
        <v>45113.625</v>
      </c>
      <c r="AR16" s="80">
        <v>16025403352</v>
      </c>
      <c r="AS16" s="81">
        <f t="shared" si="6"/>
        <v>32.202222222229466</v>
      </c>
      <c r="AT16" s="82">
        <f t="shared" si="1"/>
        <v>64</v>
      </c>
      <c r="AU16" s="73" t="s">
        <v>1027</v>
      </c>
      <c r="AV16" s="73"/>
      <c r="AW16" s="73"/>
      <c r="AX16" s="73">
        <v>1</v>
      </c>
      <c r="AY16" s="79">
        <v>45296</v>
      </c>
      <c r="AZ16" s="79">
        <f t="shared" si="7"/>
        <v>45258</v>
      </c>
      <c r="BA16" s="73" t="s">
        <v>1051</v>
      </c>
      <c r="BB16" s="145">
        <f t="shared" si="12"/>
        <v>183</v>
      </c>
      <c r="BC16" s="147" t="s">
        <v>1049</v>
      </c>
      <c r="BD16" s="73"/>
    </row>
    <row r="17" spans="1:56" s="83" customFormat="1" x14ac:dyDescent="0.3">
      <c r="A17" s="18">
        <v>13</v>
      </c>
      <c r="B17" s="67">
        <v>16286802116</v>
      </c>
      <c r="C17" s="71">
        <v>202116</v>
      </c>
      <c r="D17" s="72">
        <v>1</v>
      </c>
      <c r="E17" s="72" t="s">
        <v>120</v>
      </c>
      <c r="F17" s="102">
        <v>25031</v>
      </c>
      <c r="G17" s="74">
        <v>43795</v>
      </c>
      <c r="H17" s="139">
        <f t="shared" si="2"/>
        <v>3.6054794520547944</v>
      </c>
      <c r="I17" s="74">
        <v>44895</v>
      </c>
      <c r="J17" s="68">
        <v>2</v>
      </c>
      <c r="K17" s="75">
        <f t="shared" si="0"/>
        <v>216</v>
      </c>
      <c r="L17" s="85">
        <v>79</v>
      </c>
      <c r="M17" s="76">
        <v>3.2</v>
      </c>
      <c r="N17" s="136">
        <v>45147</v>
      </c>
      <c r="O17" s="137">
        <v>81.760000000000005</v>
      </c>
      <c r="P17" s="137">
        <v>3.2</v>
      </c>
      <c r="Q17" s="136" t="s">
        <v>1029</v>
      </c>
      <c r="R17" s="140">
        <v>82.7</v>
      </c>
      <c r="S17" s="76">
        <v>3.2</v>
      </c>
      <c r="T17" s="76" t="s">
        <v>110</v>
      </c>
      <c r="U17" s="76" t="s">
        <v>99</v>
      </c>
      <c r="V17" s="138">
        <v>16001280542</v>
      </c>
      <c r="W17" s="73">
        <v>3</v>
      </c>
      <c r="X17" s="89">
        <v>480.3</v>
      </c>
      <c r="Y17" s="90">
        <v>198</v>
      </c>
      <c r="Z17" s="89">
        <v>366.3</v>
      </c>
      <c r="AA17" s="90">
        <v>168</v>
      </c>
      <c r="AB17" s="77">
        <v>1.91</v>
      </c>
      <c r="AC17" s="90">
        <f t="shared" si="3"/>
        <v>1910</v>
      </c>
      <c r="AD17" s="128">
        <f>EXP(2.859+0.011*Z17-0.002*AC17+0.275*H17-1.952)</f>
        <v>8.230171470758977</v>
      </c>
      <c r="AE17" s="128">
        <f t="shared" si="4"/>
        <v>0.89165965083444199</v>
      </c>
      <c r="AF17" s="19">
        <v>14</v>
      </c>
      <c r="AG17" s="113">
        <v>45112.788773148146</v>
      </c>
      <c r="AH17" s="113">
        <v>45114.669537037036</v>
      </c>
      <c r="AI17" s="113">
        <v>45112.788773148146</v>
      </c>
      <c r="AJ17" s="113">
        <v>45112.791122685187</v>
      </c>
      <c r="AK17" s="78">
        <f t="shared" si="10"/>
        <v>35.597222222189885</v>
      </c>
      <c r="AL17" s="78">
        <f t="shared" si="11"/>
        <v>70.597222222189885</v>
      </c>
      <c r="AM17" s="114">
        <f>(AJ17-AI17)*24</f>
        <v>5.6388888973742723E-2</v>
      </c>
      <c r="AN17" s="115">
        <v>1</v>
      </c>
      <c r="AO17" s="19">
        <v>9</v>
      </c>
      <c r="AP17" s="79">
        <v>45113</v>
      </c>
      <c r="AQ17" s="69">
        <v>45113.625</v>
      </c>
      <c r="AR17" s="80">
        <v>16031711395</v>
      </c>
      <c r="AS17" s="81">
        <f t="shared" si="6"/>
        <v>20.069444444496185</v>
      </c>
      <c r="AT17" s="82">
        <f t="shared" si="1"/>
        <v>64</v>
      </c>
      <c r="AU17" s="73" t="s">
        <v>13</v>
      </c>
      <c r="AV17" s="73">
        <v>2</v>
      </c>
      <c r="AW17" s="73" t="s">
        <v>13</v>
      </c>
      <c r="AX17" s="73">
        <v>2</v>
      </c>
      <c r="AY17" s="79">
        <v>45263</v>
      </c>
      <c r="AZ17" s="79">
        <f t="shared" si="7"/>
        <v>45258</v>
      </c>
      <c r="BA17" s="84" t="s">
        <v>1044</v>
      </c>
      <c r="BB17" s="84">
        <f t="shared" si="12"/>
        <v>150</v>
      </c>
      <c r="BC17" s="147"/>
      <c r="BD17" s="73"/>
    </row>
    <row r="18" spans="1:56" s="83" customFormat="1" x14ac:dyDescent="0.3">
      <c r="A18" s="18">
        <v>14</v>
      </c>
      <c r="B18" s="67">
        <v>16286802176</v>
      </c>
      <c r="C18" s="71">
        <v>202176</v>
      </c>
      <c r="D18" s="72">
        <v>1</v>
      </c>
      <c r="E18" s="72" t="s">
        <v>113</v>
      </c>
      <c r="F18" s="102">
        <v>25336</v>
      </c>
      <c r="G18" s="74">
        <v>43796</v>
      </c>
      <c r="H18" s="139">
        <f t="shared" si="2"/>
        <v>3.6027397260273974</v>
      </c>
      <c r="I18" s="74">
        <v>44899</v>
      </c>
      <c r="J18" s="68">
        <v>2</v>
      </c>
      <c r="K18" s="75">
        <f t="shared" si="0"/>
        <v>212</v>
      </c>
      <c r="L18" s="85">
        <v>67.099999999999994</v>
      </c>
      <c r="M18" s="76">
        <v>2.8</v>
      </c>
      <c r="N18" s="136">
        <v>45145</v>
      </c>
      <c r="O18" s="137">
        <v>64.05</v>
      </c>
      <c r="P18" s="137">
        <v>2.7</v>
      </c>
      <c r="Q18" s="136" t="s">
        <v>1025</v>
      </c>
      <c r="R18" s="140">
        <v>66.2</v>
      </c>
      <c r="S18" s="76">
        <v>2.9</v>
      </c>
      <c r="T18" s="76" t="s">
        <v>101</v>
      </c>
      <c r="U18" s="76" t="s">
        <v>1026</v>
      </c>
      <c r="V18" s="138">
        <v>16258530325</v>
      </c>
      <c r="W18" s="73">
        <v>3</v>
      </c>
      <c r="X18" s="89">
        <v>366</v>
      </c>
      <c r="Y18" s="90">
        <v>179</v>
      </c>
      <c r="Z18" s="89">
        <v>371.1</v>
      </c>
      <c r="AA18" s="90">
        <v>164</v>
      </c>
      <c r="AB18" s="77">
        <v>1.32</v>
      </c>
      <c r="AC18" s="90">
        <f t="shared" si="3"/>
        <v>1320</v>
      </c>
      <c r="AD18" s="128">
        <f t="shared" si="8"/>
        <v>9.2244117841470228</v>
      </c>
      <c r="AE18" s="128">
        <f t="shared" si="4"/>
        <v>0.90219486253962278</v>
      </c>
      <c r="AF18" s="19"/>
      <c r="AG18" s="113"/>
      <c r="AH18" s="113"/>
      <c r="AI18" s="113"/>
      <c r="AJ18" s="113"/>
      <c r="AK18" s="78"/>
      <c r="AL18" s="78"/>
      <c r="AM18" s="114"/>
      <c r="AN18" s="115"/>
      <c r="AO18" s="19"/>
      <c r="AP18" s="79">
        <v>45113</v>
      </c>
      <c r="AQ18" s="69">
        <v>45113.625</v>
      </c>
      <c r="AR18" s="80">
        <v>55131900500</v>
      </c>
      <c r="AS18" s="81"/>
      <c r="AT18" s="82">
        <f t="shared" si="1"/>
        <v>64</v>
      </c>
      <c r="AU18" s="73" t="s">
        <v>13</v>
      </c>
      <c r="AV18" s="73">
        <v>1</v>
      </c>
      <c r="AW18" s="73" t="s">
        <v>13</v>
      </c>
      <c r="AX18" s="73">
        <v>1</v>
      </c>
      <c r="AY18" s="79">
        <v>45262</v>
      </c>
      <c r="AZ18" s="79">
        <f t="shared" si="7"/>
        <v>45258</v>
      </c>
      <c r="BA18" s="84" t="s">
        <v>1044</v>
      </c>
      <c r="BB18" s="84">
        <f t="shared" si="12"/>
        <v>149</v>
      </c>
      <c r="BC18" s="146" t="s">
        <v>1050</v>
      </c>
      <c r="BD18" s="73"/>
    </row>
    <row r="19" spans="1:56" s="83" customFormat="1" x14ac:dyDescent="0.3">
      <c r="A19" s="18">
        <v>15</v>
      </c>
      <c r="B19" s="67">
        <v>16286802196</v>
      </c>
      <c r="C19" s="71">
        <v>202196</v>
      </c>
      <c r="D19" s="72">
        <v>1</v>
      </c>
      <c r="E19" s="72" t="s">
        <v>114</v>
      </c>
      <c r="F19" s="102">
        <v>25519</v>
      </c>
      <c r="G19" s="74">
        <v>43796</v>
      </c>
      <c r="H19" s="139">
        <f t="shared" si="2"/>
        <v>3.6027397260273974</v>
      </c>
      <c r="I19" s="74">
        <v>44896</v>
      </c>
      <c r="J19" s="68">
        <v>2</v>
      </c>
      <c r="K19" s="75">
        <f t="shared" si="0"/>
        <v>215</v>
      </c>
      <c r="L19" s="85">
        <v>74.3</v>
      </c>
      <c r="M19" s="76">
        <v>2.8</v>
      </c>
      <c r="N19" s="136">
        <v>45146</v>
      </c>
      <c r="O19" s="137">
        <v>69.41</v>
      </c>
      <c r="P19" s="137">
        <v>2.8</v>
      </c>
      <c r="Q19" s="136" t="s">
        <v>1025</v>
      </c>
      <c r="R19" s="140">
        <v>76.7</v>
      </c>
      <c r="S19" s="76">
        <v>2.9</v>
      </c>
      <c r="T19" s="76" t="s">
        <v>101</v>
      </c>
      <c r="U19" s="76" t="s">
        <v>1026</v>
      </c>
      <c r="V19" s="138">
        <v>55113660120</v>
      </c>
      <c r="W19" s="73">
        <v>3</v>
      </c>
      <c r="X19" s="89">
        <v>431.9</v>
      </c>
      <c r="Y19" s="90">
        <v>165</v>
      </c>
      <c r="Z19" s="89">
        <v>444.1</v>
      </c>
      <c r="AA19" s="90">
        <v>167</v>
      </c>
      <c r="AB19" s="77">
        <v>1.94</v>
      </c>
      <c r="AC19" s="90">
        <f t="shared" si="3"/>
        <v>1940</v>
      </c>
      <c r="AD19" s="128">
        <f t="shared" si="8"/>
        <v>5.9587064841264805</v>
      </c>
      <c r="AE19" s="128">
        <f t="shared" si="4"/>
        <v>0.85629513153326675</v>
      </c>
      <c r="AF19" s="19">
        <v>12</v>
      </c>
      <c r="AG19" s="113">
        <v>45112.702800925923</v>
      </c>
      <c r="AH19" s="113">
        <v>45113.573009259257</v>
      </c>
      <c r="AI19" s="113">
        <v>45112.702800925923</v>
      </c>
      <c r="AJ19" s="113">
        <v>45113.573009259257</v>
      </c>
      <c r="AK19" s="78">
        <f t="shared" si="10"/>
        <v>33.533888888836373</v>
      </c>
      <c r="AL19" s="78">
        <f t="shared" si="11"/>
        <v>68.533888888836373</v>
      </c>
      <c r="AM19" s="114">
        <f>(AJ19-AI19)*24</f>
        <v>20.885000000009313</v>
      </c>
      <c r="AN19" s="115">
        <v>20.885000000009313</v>
      </c>
      <c r="AO19" s="19">
        <v>27</v>
      </c>
      <c r="AP19" s="79">
        <v>45113</v>
      </c>
      <c r="AQ19" s="69">
        <v>45113.625</v>
      </c>
      <c r="AR19" s="80">
        <v>16103604078</v>
      </c>
      <c r="AS19" s="81">
        <f t="shared" si="6"/>
        <v>22.132777777849697</v>
      </c>
      <c r="AT19" s="82">
        <f t="shared" si="1"/>
        <v>64</v>
      </c>
      <c r="AU19" s="73" t="s">
        <v>13</v>
      </c>
      <c r="AV19" s="73">
        <v>2</v>
      </c>
      <c r="AW19" s="73" t="s">
        <v>13</v>
      </c>
      <c r="AX19" s="73">
        <v>2</v>
      </c>
      <c r="AY19" s="79">
        <v>45261</v>
      </c>
      <c r="AZ19" s="79">
        <f t="shared" si="7"/>
        <v>45258</v>
      </c>
      <c r="BA19" s="84" t="s">
        <v>1044</v>
      </c>
      <c r="BB19" s="84">
        <f t="shared" si="12"/>
        <v>148</v>
      </c>
      <c r="BC19" s="147"/>
      <c r="BD19" s="73"/>
    </row>
    <row r="20" spans="1:56" s="83" customFormat="1" x14ac:dyDescent="0.3">
      <c r="A20" s="18">
        <v>16</v>
      </c>
      <c r="B20" s="67">
        <v>16286802242</v>
      </c>
      <c r="C20" s="71">
        <v>202242</v>
      </c>
      <c r="D20" s="72">
        <v>1</v>
      </c>
      <c r="E20" s="72" t="s">
        <v>116</v>
      </c>
      <c r="F20" s="102">
        <v>25973</v>
      </c>
      <c r="G20" s="74">
        <v>43796</v>
      </c>
      <c r="H20" s="139">
        <f t="shared" si="2"/>
        <v>3.6027397260273974</v>
      </c>
      <c r="I20" s="74">
        <v>44894</v>
      </c>
      <c r="J20" s="68">
        <v>1</v>
      </c>
      <c r="K20" s="75">
        <f t="shared" si="0"/>
        <v>217</v>
      </c>
      <c r="L20" s="85">
        <v>76.599999999999994</v>
      </c>
      <c r="M20" s="76">
        <v>3.4</v>
      </c>
      <c r="N20" s="136">
        <v>45147</v>
      </c>
      <c r="O20" s="137">
        <v>74.12</v>
      </c>
      <c r="P20" s="137">
        <v>3.3</v>
      </c>
      <c r="Q20" s="136" t="s">
        <v>1025</v>
      </c>
      <c r="R20" s="140">
        <v>75.2</v>
      </c>
      <c r="S20" s="76">
        <v>3.5</v>
      </c>
      <c r="T20" s="76" t="s">
        <v>101</v>
      </c>
      <c r="U20" s="76" t="s">
        <v>1023</v>
      </c>
      <c r="V20" s="138">
        <v>16191861148</v>
      </c>
      <c r="W20" s="73">
        <v>3</v>
      </c>
      <c r="X20" s="89">
        <v>354.8</v>
      </c>
      <c r="Y20" s="90">
        <v>181</v>
      </c>
      <c r="Z20" s="89">
        <v>355.5</v>
      </c>
      <c r="AA20" s="90">
        <v>169</v>
      </c>
      <c r="AB20" s="77">
        <v>1.78</v>
      </c>
      <c r="AC20" s="90">
        <f t="shared" si="3"/>
        <v>1780</v>
      </c>
      <c r="AD20" s="128">
        <f>EXP(2.859+0.011*Z20-0.002*AC20+0.275*H20-1.952)</f>
        <v>9.4711792537592299</v>
      </c>
      <c r="AE20" s="128">
        <f t="shared" si="4"/>
        <v>0.90449977258855607</v>
      </c>
      <c r="AF20" s="19">
        <v>23</v>
      </c>
      <c r="AG20" s="113">
        <v>45113.682060185187</v>
      </c>
      <c r="AH20" s="113">
        <v>45114.2809375</v>
      </c>
      <c r="AI20" s="113">
        <v>45113.682060185187</v>
      </c>
      <c r="AJ20" s="113">
        <v>45114.2809375</v>
      </c>
      <c r="AK20" s="78">
        <f t="shared" si="10"/>
        <v>57.036111111170612</v>
      </c>
      <c r="AL20" s="78">
        <f t="shared" si="11"/>
        <v>92.036111111170612</v>
      </c>
      <c r="AM20" s="114">
        <f>(AJ20-AI20)*24</f>
        <v>14.373055555508472</v>
      </c>
      <c r="AN20" s="115">
        <v>14.373055555508472</v>
      </c>
      <c r="AO20" s="19">
        <v>14</v>
      </c>
      <c r="AP20" s="79">
        <v>45113</v>
      </c>
      <c r="AQ20" s="69">
        <v>45113.625</v>
      </c>
      <c r="AR20" s="80">
        <v>16348503344</v>
      </c>
      <c r="AS20" s="81">
        <f t="shared" si="6"/>
        <v>-1.3694444444845431</v>
      </c>
      <c r="AT20" s="82">
        <f t="shared" ref="AT20:AT52" si="13">AT$2-AP20</f>
        <v>64</v>
      </c>
      <c r="AU20" s="73" t="s">
        <v>1024</v>
      </c>
      <c r="AV20" s="73">
        <v>1</v>
      </c>
      <c r="AW20" s="73"/>
      <c r="AX20" s="73">
        <v>1</v>
      </c>
      <c r="AY20" s="79">
        <v>45279</v>
      </c>
      <c r="AZ20" s="79">
        <f t="shared" si="7"/>
        <v>45258</v>
      </c>
      <c r="BA20" s="73" t="s">
        <v>1045</v>
      </c>
      <c r="BB20" s="145">
        <f t="shared" si="12"/>
        <v>166</v>
      </c>
      <c r="BC20" s="147" t="s">
        <v>1049</v>
      </c>
      <c r="BD20" s="73"/>
    </row>
    <row r="21" spans="1:56" s="83" customFormat="1" x14ac:dyDescent="0.3">
      <c r="A21" s="18">
        <v>17</v>
      </c>
      <c r="B21" s="67">
        <v>16286802290</v>
      </c>
      <c r="C21" s="71">
        <v>202290</v>
      </c>
      <c r="D21" s="72">
        <v>1</v>
      </c>
      <c r="E21" s="72" t="s">
        <v>119</v>
      </c>
      <c r="F21" s="102">
        <v>25094</v>
      </c>
      <c r="G21" s="74">
        <v>43797</v>
      </c>
      <c r="H21" s="139">
        <f t="shared" si="2"/>
        <v>3.6</v>
      </c>
      <c r="I21" s="74">
        <v>44895</v>
      </c>
      <c r="J21" s="68">
        <v>2</v>
      </c>
      <c r="K21" s="75">
        <f t="shared" si="0"/>
        <v>216</v>
      </c>
      <c r="L21" s="85">
        <v>67.5</v>
      </c>
      <c r="M21" s="76">
        <v>2.8</v>
      </c>
      <c r="N21" s="136">
        <v>45147</v>
      </c>
      <c r="O21" s="137">
        <v>66.58</v>
      </c>
      <c r="P21" s="137">
        <v>2.7</v>
      </c>
      <c r="Q21" s="136" t="s">
        <v>1025</v>
      </c>
      <c r="R21" s="140">
        <v>67.7</v>
      </c>
      <c r="S21" s="76">
        <v>2.7</v>
      </c>
      <c r="T21" s="76" t="s">
        <v>101</v>
      </c>
      <c r="U21" s="76" t="s">
        <v>99</v>
      </c>
      <c r="V21" s="138">
        <v>16272980218</v>
      </c>
      <c r="W21" s="73">
        <v>3</v>
      </c>
      <c r="X21" s="89">
        <v>407.8</v>
      </c>
      <c r="Y21" s="90">
        <v>200</v>
      </c>
      <c r="Z21" s="89">
        <v>349.5</v>
      </c>
      <c r="AA21" s="90">
        <v>168</v>
      </c>
      <c r="AB21" s="77">
        <v>1.52</v>
      </c>
      <c r="AC21" s="90">
        <f t="shared" si="3"/>
        <v>1520</v>
      </c>
      <c r="AD21" s="128">
        <f t="shared" si="8"/>
        <v>4.8719779279041902</v>
      </c>
      <c r="AE21" s="128">
        <f t="shared" si="4"/>
        <v>0.82969963234229716</v>
      </c>
      <c r="AF21" s="19">
        <v>9</v>
      </c>
      <c r="AG21" s="113">
        <v>45112.406307870369</v>
      </c>
      <c r="AH21" s="113">
        <v>45114.448020833333</v>
      </c>
      <c r="AI21" s="113">
        <v>45112.406307870369</v>
      </c>
      <c r="AJ21" s="113">
        <v>45114.448020833333</v>
      </c>
      <c r="AK21" s="78">
        <f t="shared" si="10"/>
        <v>26.418055555550382</v>
      </c>
      <c r="AL21" s="78">
        <f t="shared" si="11"/>
        <v>61.418055555550382</v>
      </c>
      <c r="AM21" s="114">
        <f>(AJ21-AI21)*24</f>
        <v>49.001111111138016</v>
      </c>
      <c r="AN21" s="115">
        <v>49.001111111138016</v>
      </c>
      <c r="AO21" s="19">
        <v>19</v>
      </c>
      <c r="AP21" s="79">
        <v>45113</v>
      </c>
      <c r="AQ21" s="69">
        <v>45113.625</v>
      </c>
      <c r="AR21" s="80">
        <v>16289111785</v>
      </c>
      <c r="AS21" s="81">
        <f t="shared" si="6"/>
        <v>29.248611111135688</v>
      </c>
      <c r="AT21" s="82">
        <f t="shared" si="13"/>
        <v>64</v>
      </c>
      <c r="AU21" s="73" t="s">
        <v>13</v>
      </c>
      <c r="AV21" s="73">
        <v>2</v>
      </c>
      <c r="AW21" s="73" t="s">
        <v>13</v>
      </c>
      <c r="AX21" s="73">
        <v>2</v>
      </c>
      <c r="AY21" s="79">
        <v>45261</v>
      </c>
      <c r="AZ21" s="79">
        <f t="shared" si="7"/>
        <v>45258</v>
      </c>
      <c r="BA21" s="84" t="s">
        <v>1044</v>
      </c>
      <c r="BB21" s="84">
        <f t="shared" si="12"/>
        <v>148</v>
      </c>
      <c r="BC21" s="147"/>
      <c r="BD21" s="73"/>
    </row>
    <row r="22" spans="1:56" s="83" customFormat="1" x14ac:dyDescent="0.3">
      <c r="A22" s="18">
        <v>18</v>
      </c>
      <c r="B22" s="67">
        <v>16286802377</v>
      </c>
      <c r="C22" s="86">
        <v>202377</v>
      </c>
      <c r="D22" s="87">
        <v>1</v>
      </c>
      <c r="E22" s="87" t="s">
        <v>117</v>
      </c>
      <c r="F22" s="102">
        <v>25768</v>
      </c>
      <c r="G22" s="74">
        <v>43798</v>
      </c>
      <c r="H22" s="139">
        <f t="shared" si="2"/>
        <v>3.5972602739726027</v>
      </c>
      <c r="I22" s="74">
        <v>44893</v>
      </c>
      <c r="J22" s="68">
        <v>2</v>
      </c>
      <c r="K22" s="75">
        <f t="shared" si="0"/>
        <v>218</v>
      </c>
      <c r="L22" s="85">
        <v>73.900000000000006</v>
      </c>
      <c r="M22" s="76">
        <v>3.2</v>
      </c>
      <c r="N22" s="136">
        <v>45146</v>
      </c>
      <c r="O22" s="137">
        <v>64.099999999999994</v>
      </c>
      <c r="P22" s="137">
        <v>2.9</v>
      </c>
      <c r="Q22" s="136" t="s">
        <v>1025</v>
      </c>
      <c r="R22" s="140">
        <v>67.400000000000006</v>
      </c>
      <c r="S22" s="76">
        <v>2.9</v>
      </c>
      <c r="T22" s="76" t="s">
        <v>101</v>
      </c>
      <c r="U22" s="76" t="s">
        <v>1023</v>
      </c>
      <c r="V22" s="138">
        <v>16229361071</v>
      </c>
      <c r="W22" s="73">
        <v>3</v>
      </c>
      <c r="X22" s="89">
        <v>367</v>
      </c>
      <c r="Y22" s="90">
        <v>198</v>
      </c>
      <c r="Z22" s="89">
        <v>321.39999999999998</v>
      </c>
      <c r="AA22" s="90">
        <v>170</v>
      </c>
      <c r="AB22" s="77">
        <v>1.65</v>
      </c>
      <c r="AC22" s="90">
        <f t="shared" si="3"/>
        <v>1650</v>
      </c>
      <c r="AD22" s="128">
        <f>EXP(2.859+0.011*Z22-0.002*AC22+0.275*H22-1.952)</f>
        <v>8.4287339371425443</v>
      </c>
      <c r="AE22" s="128">
        <f t="shared" si="4"/>
        <v>0.89394122194277781</v>
      </c>
      <c r="AF22" s="19"/>
      <c r="AG22" s="113"/>
      <c r="AH22" s="113"/>
      <c r="AI22" s="113"/>
      <c r="AJ22" s="113"/>
      <c r="AK22" s="78"/>
      <c r="AL22" s="78"/>
      <c r="AM22" s="114"/>
      <c r="AN22" s="115"/>
      <c r="AO22" s="19"/>
      <c r="AP22" s="79">
        <v>45113</v>
      </c>
      <c r="AQ22" s="69">
        <v>45113.625</v>
      </c>
      <c r="AR22" s="80">
        <v>16367304303</v>
      </c>
      <c r="AS22" s="81"/>
      <c r="AT22" s="82">
        <f t="shared" si="13"/>
        <v>64</v>
      </c>
      <c r="AU22" s="73" t="s">
        <v>13</v>
      </c>
      <c r="AV22" s="73">
        <v>2</v>
      </c>
      <c r="AW22" s="73" t="s">
        <v>13</v>
      </c>
      <c r="AX22" s="73">
        <v>2</v>
      </c>
      <c r="AY22" s="79">
        <v>45262</v>
      </c>
      <c r="AZ22" s="79">
        <f t="shared" si="7"/>
        <v>45258</v>
      </c>
      <c r="BA22" s="84" t="s">
        <v>1044</v>
      </c>
      <c r="BB22" s="84">
        <f t="shared" si="12"/>
        <v>149</v>
      </c>
      <c r="BC22" s="146" t="s">
        <v>1050</v>
      </c>
      <c r="BD22" s="73"/>
    </row>
    <row r="23" spans="1:56" s="83" customFormat="1" x14ac:dyDescent="0.3">
      <c r="A23" s="18">
        <v>19</v>
      </c>
      <c r="B23" s="67">
        <v>16286802451</v>
      </c>
      <c r="C23" s="71">
        <v>202451</v>
      </c>
      <c r="D23" s="72">
        <v>1</v>
      </c>
      <c r="E23" s="72" t="s">
        <v>121</v>
      </c>
      <c r="F23" s="102">
        <v>25861</v>
      </c>
      <c r="G23" s="74">
        <v>43798</v>
      </c>
      <c r="H23" s="139">
        <f t="shared" si="2"/>
        <v>3.5972602739726027</v>
      </c>
      <c r="I23" s="74">
        <v>44896</v>
      </c>
      <c r="J23" s="68">
        <v>3</v>
      </c>
      <c r="K23" s="75">
        <f t="shared" si="0"/>
        <v>215</v>
      </c>
      <c r="L23" s="85">
        <v>77.8</v>
      </c>
      <c r="M23" s="76">
        <v>2.8</v>
      </c>
      <c r="N23" s="136">
        <v>45146</v>
      </c>
      <c r="O23" s="137">
        <v>72.53</v>
      </c>
      <c r="P23" s="137">
        <v>2.8</v>
      </c>
      <c r="Q23" s="136" t="s">
        <v>1025</v>
      </c>
      <c r="R23" s="140">
        <v>77.5</v>
      </c>
      <c r="S23" s="76">
        <v>3</v>
      </c>
      <c r="T23" s="76" t="s">
        <v>110</v>
      </c>
      <c r="U23" s="76" t="s">
        <v>99</v>
      </c>
      <c r="V23" s="138">
        <v>16217880742</v>
      </c>
      <c r="W23" s="73">
        <v>3</v>
      </c>
      <c r="X23" s="89">
        <v>422.8</v>
      </c>
      <c r="Y23" s="90">
        <v>182</v>
      </c>
      <c r="Z23" s="89">
        <v>409.4</v>
      </c>
      <c r="AA23" s="90">
        <v>167</v>
      </c>
      <c r="AB23" s="77">
        <v>1.64</v>
      </c>
      <c r="AC23" s="90">
        <f t="shared" si="3"/>
        <v>1640</v>
      </c>
      <c r="AD23" s="128">
        <f t="shared" si="8"/>
        <v>7.4012327586499351</v>
      </c>
      <c r="AE23" s="128">
        <f t="shared" si="4"/>
        <v>0.88096984945805745</v>
      </c>
      <c r="AF23" s="19">
        <v>15</v>
      </c>
      <c r="AG23" s="113">
        <v>45112.791516203702</v>
      </c>
      <c r="AH23" s="113">
        <v>45113.205613425926</v>
      </c>
      <c r="AI23" s="113">
        <v>45112.791516203702</v>
      </c>
      <c r="AJ23" s="113">
        <v>45113.205613425926</v>
      </c>
      <c r="AK23" s="78">
        <f t="shared" si="10"/>
        <v>35.663055555545725</v>
      </c>
      <c r="AL23" s="78">
        <f t="shared" si="11"/>
        <v>70.663055555545725</v>
      </c>
      <c r="AM23" s="114">
        <f>(AJ23-AI23)*24</f>
        <v>9.938333333353512</v>
      </c>
      <c r="AN23" s="115">
        <v>9.938333333353512</v>
      </c>
      <c r="AO23" s="19">
        <v>9</v>
      </c>
      <c r="AP23" s="79">
        <v>45113</v>
      </c>
      <c r="AQ23" s="69">
        <v>45113.625</v>
      </c>
      <c r="AR23" s="80">
        <v>16156822442</v>
      </c>
      <c r="AS23" s="81">
        <f t="shared" si="6"/>
        <v>20.003611111140344</v>
      </c>
      <c r="AT23" s="82">
        <f t="shared" si="13"/>
        <v>64</v>
      </c>
      <c r="AU23" s="73" t="s">
        <v>13</v>
      </c>
      <c r="AV23" s="73">
        <v>2</v>
      </c>
      <c r="AW23" s="73" t="s">
        <v>13</v>
      </c>
      <c r="AX23" s="73">
        <v>2</v>
      </c>
      <c r="AY23" s="79">
        <v>45263</v>
      </c>
      <c r="AZ23" s="79">
        <f t="shared" si="7"/>
        <v>45258</v>
      </c>
      <c r="BA23" s="84" t="s">
        <v>1044</v>
      </c>
      <c r="BB23" s="84">
        <f t="shared" si="12"/>
        <v>150</v>
      </c>
      <c r="BC23" s="147"/>
      <c r="BD23" s="73"/>
    </row>
    <row r="24" spans="1:56" s="83" customFormat="1" x14ac:dyDescent="0.3">
      <c r="A24" s="18">
        <v>20</v>
      </c>
      <c r="B24" s="67">
        <v>16286813074</v>
      </c>
      <c r="C24" s="71">
        <v>213074</v>
      </c>
      <c r="D24" s="72">
        <v>1</v>
      </c>
      <c r="E24" s="72" t="s">
        <v>127</v>
      </c>
      <c r="F24" s="102">
        <v>25276</v>
      </c>
      <c r="G24" s="74">
        <v>44166</v>
      </c>
      <c r="H24" s="139">
        <f t="shared" si="2"/>
        <v>2.5890410958904111</v>
      </c>
      <c r="I24" s="74">
        <v>44894</v>
      </c>
      <c r="J24" s="68">
        <v>2</v>
      </c>
      <c r="K24" s="75">
        <f t="shared" si="0"/>
        <v>217</v>
      </c>
      <c r="L24" s="85">
        <v>61.1</v>
      </c>
      <c r="M24" s="76">
        <v>2.8</v>
      </c>
      <c r="N24" s="136">
        <v>45146</v>
      </c>
      <c r="O24" s="137">
        <v>58.79</v>
      </c>
      <c r="P24" s="137">
        <v>2.6</v>
      </c>
      <c r="Q24" s="136" t="s">
        <v>1025</v>
      </c>
      <c r="R24" s="140">
        <v>64.2</v>
      </c>
      <c r="S24" s="76">
        <v>2.9</v>
      </c>
      <c r="T24" s="76" t="s">
        <v>101</v>
      </c>
      <c r="U24" s="76" t="s">
        <v>1023</v>
      </c>
      <c r="V24" s="138">
        <v>16227870358</v>
      </c>
      <c r="W24" s="73">
        <v>2</v>
      </c>
      <c r="X24" s="89">
        <v>212.8</v>
      </c>
      <c r="Y24" s="90">
        <v>131</v>
      </c>
      <c r="Z24" s="89">
        <v>355.6</v>
      </c>
      <c r="AA24" s="90">
        <v>169</v>
      </c>
      <c r="AB24" s="77">
        <v>1.68</v>
      </c>
      <c r="AC24" s="90">
        <f t="shared" si="3"/>
        <v>1680</v>
      </c>
      <c r="AD24" s="128">
        <f t="shared" si="8"/>
        <v>2.8650514306586738</v>
      </c>
      <c r="AE24" s="128">
        <f t="shared" si="4"/>
        <v>0.74127123068331791</v>
      </c>
      <c r="AF24" s="19">
        <v>8</v>
      </c>
      <c r="AG24" s="113">
        <v>45112.30300925926</v>
      </c>
      <c r="AH24" s="113">
        <v>45113.894490740742</v>
      </c>
      <c r="AI24" s="113">
        <v>45112.30300925926</v>
      </c>
      <c r="AJ24" s="113">
        <v>45113.894490740742</v>
      </c>
      <c r="AK24" s="78">
        <f t="shared" si="10"/>
        <v>23.93888888892252</v>
      </c>
      <c r="AL24" s="78">
        <f t="shared" si="11"/>
        <v>58.93888888892252</v>
      </c>
      <c r="AM24" s="114">
        <f>(AJ24-AI24)*24</f>
        <v>38.195555555575993</v>
      </c>
      <c r="AN24" s="115">
        <v>38.195555555575993</v>
      </c>
      <c r="AO24" s="19">
        <v>42</v>
      </c>
      <c r="AP24" s="79">
        <v>45113</v>
      </c>
      <c r="AQ24" s="69">
        <v>45113.625</v>
      </c>
      <c r="AR24" s="80">
        <v>16348503344</v>
      </c>
      <c r="AS24" s="81">
        <f t="shared" si="6"/>
        <v>31.727777777763549</v>
      </c>
      <c r="AT24" s="82">
        <f t="shared" si="13"/>
        <v>64</v>
      </c>
      <c r="AU24" s="73" t="s">
        <v>13</v>
      </c>
      <c r="AV24" s="73">
        <v>1</v>
      </c>
      <c r="AW24" s="73" t="s">
        <v>13</v>
      </c>
      <c r="AX24" s="73">
        <v>1</v>
      </c>
      <c r="AY24" s="79">
        <v>45260</v>
      </c>
      <c r="AZ24" s="79">
        <f t="shared" si="7"/>
        <v>45258</v>
      </c>
      <c r="BA24" s="84" t="s">
        <v>1044</v>
      </c>
      <c r="BB24" s="84">
        <f t="shared" si="12"/>
        <v>147</v>
      </c>
      <c r="BC24" s="147"/>
      <c r="BD24" s="73"/>
    </row>
    <row r="25" spans="1:56" s="83" customFormat="1" x14ac:dyDescent="0.3">
      <c r="A25" s="18">
        <v>21</v>
      </c>
      <c r="B25" s="67">
        <v>16286813097</v>
      </c>
      <c r="C25" s="71">
        <v>213097</v>
      </c>
      <c r="D25" s="72">
        <v>1</v>
      </c>
      <c r="E25" s="72" t="s">
        <v>123</v>
      </c>
      <c r="F25" s="102">
        <v>25388</v>
      </c>
      <c r="G25" s="74">
        <v>44166</v>
      </c>
      <c r="H25" s="139">
        <f t="shared" si="2"/>
        <v>2.5890410958904111</v>
      </c>
      <c r="I25" s="74">
        <v>44895</v>
      </c>
      <c r="J25" s="68">
        <v>2</v>
      </c>
      <c r="K25" s="75">
        <f t="shared" si="0"/>
        <v>216</v>
      </c>
      <c r="L25" s="85">
        <v>80.2</v>
      </c>
      <c r="M25" s="76">
        <v>3.6</v>
      </c>
      <c r="N25" s="136">
        <v>45145</v>
      </c>
      <c r="O25" s="137">
        <v>76.760000000000005</v>
      </c>
      <c r="P25" s="137">
        <v>3.1</v>
      </c>
      <c r="Q25" s="136" t="s">
        <v>1025</v>
      </c>
      <c r="R25" s="140">
        <v>81.2</v>
      </c>
      <c r="S25" s="76">
        <v>3.5</v>
      </c>
      <c r="T25" s="76" t="s">
        <v>101</v>
      </c>
      <c r="U25" s="76" t="s">
        <v>1026</v>
      </c>
      <c r="V25" s="138">
        <v>16221370125</v>
      </c>
      <c r="W25" s="73">
        <v>2</v>
      </c>
      <c r="X25" s="89">
        <v>237.7</v>
      </c>
      <c r="Y25" s="90">
        <v>153</v>
      </c>
      <c r="Z25" s="89">
        <v>303.89999999999998</v>
      </c>
      <c r="AA25" s="90">
        <v>168</v>
      </c>
      <c r="AB25" s="77">
        <v>1.06</v>
      </c>
      <c r="AC25" s="90">
        <f t="shared" si="3"/>
        <v>1060</v>
      </c>
      <c r="AD25" s="128">
        <f>EXP(2.859+0.011*Z25-0.002*AC25+0.275*H25-1.952)</f>
        <v>17.148081498363766</v>
      </c>
      <c r="AE25" s="128">
        <f t="shared" si="4"/>
        <v>0.94489775681852872</v>
      </c>
      <c r="AF25" s="19">
        <v>16</v>
      </c>
      <c r="AG25" s="113">
        <v>45113.201701388891</v>
      </c>
      <c r="AH25" s="113">
        <v>45113.209201388891</v>
      </c>
      <c r="AI25" s="113">
        <v>45113.201701388891</v>
      </c>
      <c r="AJ25" s="113">
        <v>45113.209201388891</v>
      </c>
      <c r="AK25" s="78">
        <f t="shared" si="10"/>
        <v>45.507500000065193</v>
      </c>
      <c r="AL25" s="78">
        <f t="shared" si="11"/>
        <v>80.507500000065193</v>
      </c>
      <c r="AM25" s="114">
        <f>(AJ25-AI25)*24</f>
        <v>0.17999999999301508</v>
      </c>
      <c r="AN25" s="115">
        <v>1</v>
      </c>
      <c r="AO25" s="19">
        <v>13</v>
      </c>
      <c r="AP25" s="79">
        <v>45113</v>
      </c>
      <c r="AQ25" s="69">
        <v>45113.625</v>
      </c>
      <c r="AR25" s="80">
        <v>55131900500</v>
      </c>
      <c r="AS25" s="81">
        <f t="shared" si="6"/>
        <v>10.159166666620877</v>
      </c>
      <c r="AT25" s="82">
        <f t="shared" si="13"/>
        <v>64</v>
      </c>
      <c r="AU25" s="73" t="s">
        <v>13</v>
      </c>
      <c r="AV25" s="73">
        <v>3</v>
      </c>
      <c r="AW25" s="73" t="s">
        <v>13</v>
      </c>
      <c r="AX25" s="73">
        <v>3</v>
      </c>
      <c r="AY25" s="79">
        <v>45260</v>
      </c>
      <c r="AZ25" s="79">
        <f t="shared" si="7"/>
        <v>45258</v>
      </c>
      <c r="BA25" s="84" t="s">
        <v>1044</v>
      </c>
      <c r="BB25" s="84">
        <f t="shared" si="12"/>
        <v>147</v>
      </c>
      <c r="BC25" s="147"/>
      <c r="BD25" s="73"/>
    </row>
    <row r="26" spans="1:56" s="83" customFormat="1" x14ac:dyDescent="0.3">
      <c r="A26" s="18">
        <v>22</v>
      </c>
      <c r="B26" s="67">
        <v>16286813117</v>
      </c>
      <c r="C26" s="71">
        <v>213117</v>
      </c>
      <c r="D26" s="72">
        <v>1</v>
      </c>
      <c r="E26" s="72" t="s">
        <v>131</v>
      </c>
      <c r="F26" s="102">
        <v>25656</v>
      </c>
      <c r="G26" s="74">
        <v>44166</v>
      </c>
      <c r="H26" s="139">
        <f t="shared" si="2"/>
        <v>2.5890410958904111</v>
      </c>
      <c r="I26" s="74">
        <v>44898</v>
      </c>
      <c r="J26" s="68">
        <v>1</v>
      </c>
      <c r="K26" s="75">
        <f t="shared" si="0"/>
        <v>213</v>
      </c>
      <c r="L26" s="85">
        <v>72.7</v>
      </c>
      <c r="M26" s="76">
        <v>2.7</v>
      </c>
      <c r="N26" s="136">
        <v>45147</v>
      </c>
      <c r="O26" s="137">
        <v>71.819999999999993</v>
      </c>
      <c r="P26" s="137">
        <v>2.6</v>
      </c>
      <c r="Q26" s="136" t="s">
        <v>1025</v>
      </c>
      <c r="R26" s="140">
        <v>73.900000000000006</v>
      </c>
      <c r="S26" s="76">
        <v>2.7</v>
      </c>
      <c r="T26" s="76" t="s">
        <v>110</v>
      </c>
      <c r="U26" s="76" t="s">
        <v>99</v>
      </c>
      <c r="V26" s="138">
        <v>55150090067</v>
      </c>
      <c r="W26" s="73">
        <v>2</v>
      </c>
      <c r="X26" s="89">
        <v>222.4</v>
      </c>
      <c r="Y26" s="90">
        <v>117</v>
      </c>
      <c r="Z26" s="89">
        <v>360.5</v>
      </c>
      <c r="AA26" s="90">
        <v>165</v>
      </c>
      <c r="AB26" s="77">
        <v>1.85</v>
      </c>
      <c r="AC26" s="90">
        <f t="shared" si="3"/>
        <v>1850</v>
      </c>
      <c r="AD26" s="128">
        <f t="shared" si="8"/>
        <v>2.1521908027774126</v>
      </c>
      <c r="AE26" s="128">
        <f t="shared" si="4"/>
        <v>0.68276032049871649</v>
      </c>
      <c r="AF26" s="19">
        <v>30</v>
      </c>
      <c r="AG26" s="113">
        <v>45114.011504629627</v>
      </c>
      <c r="AH26" s="113">
        <v>45114.012337962966</v>
      </c>
      <c r="AI26" s="113">
        <v>45114.011504629627</v>
      </c>
      <c r="AJ26" s="113">
        <v>45114.012337962966</v>
      </c>
      <c r="AK26" s="78">
        <f t="shared" si="10"/>
        <v>64.942777777730953</v>
      </c>
      <c r="AL26" s="78">
        <f t="shared" si="11"/>
        <v>99.942777777730953</v>
      </c>
      <c r="AM26" s="114">
        <f>(AJ26-AI26)*24</f>
        <v>2.0000000135041773E-2</v>
      </c>
      <c r="AN26" s="115">
        <v>1</v>
      </c>
      <c r="AO26" s="19">
        <v>3</v>
      </c>
      <c r="AP26" s="79">
        <v>45113</v>
      </c>
      <c r="AQ26" s="69">
        <v>45113.625</v>
      </c>
      <c r="AR26" s="80">
        <v>16164221019</v>
      </c>
      <c r="AS26" s="81">
        <f t="shared" si="6"/>
        <v>-9.2761111110448837</v>
      </c>
      <c r="AT26" s="82">
        <f t="shared" si="13"/>
        <v>64</v>
      </c>
      <c r="AU26" s="73" t="s">
        <v>13</v>
      </c>
      <c r="AV26" s="73">
        <v>1</v>
      </c>
      <c r="AW26" s="73" t="s">
        <v>13</v>
      </c>
      <c r="AX26" s="73">
        <v>1</v>
      </c>
      <c r="AY26" s="79">
        <v>45258</v>
      </c>
      <c r="AZ26" s="79">
        <f t="shared" si="7"/>
        <v>45258</v>
      </c>
      <c r="BA26" s="84" t="s">
        <v>1044</v>
      </c>
      <c r="BB26" s="84">
        <f t="shared" si="12"/>
        <v>145</v>
      </c>
      <c r="BC26" s="147" t="s">
        <v>1046</v>
      </c>
      <c r="BD26" s="73"/>
    </row>
    <row r="27" spans="1:56" s="83" customFormat="1" x14ac:dyDescent="0.3">
      <c r="A27" s="18">
        <v>23</v>
      </c>
      <c r="B27" s="67">
        <v>16286813129</v>
      </c>
      <c r="C27" s="71">
        <v>213129</v>
      </c>
      <c r="D27" s="72">
        <v>1</v>
      </c>
      <c r="E27" s="72" t="s">
        <v>129</v>
      </c>
      <c r="F27" s="102">
        <v>25591</v>
      </c>
      <c r="G27" s="74">
        <v>44166</v>
      </c>
      <c r="H27" s="139">
        <f t="shared" si="2"/>
        <v>2.5890410958904111</v>
      </c>
      <c r="I27" s="74">
        <v>44893</v>
      </c>
      <c r="J27" s="68">
        <v>1</v>
      </c>
      <c r="K27" s="75">
        <f t="shared" si="0"/>
        <v>218</v>
      </c>
      <c r="L27" s="85">
        <v>70.900000000000006</v>
      </c>
      <c r="M27" s="76">
        <v>3.3</v>
      </c>
      <c r="N27" s="136">
        <v>45145</v>
      </c>
      <c r="O27" s="137">
        <v>64.84</v>
      </c>
      <c r="P27" s="137">
        <v>2.8</v>
      </c>
      <c r="Q27" s="136" t="s">
        <v>1025</v>
      </c>
      <c r="R27" s="140">
        <v>68.8</v>
      </c>
      <c r="S27" s="76">
        <v>2.8</v>
      </c>
      <c r="T27" s="76" t="s">
        <v>101</v>
      </c>
      <c r="U27" s="76" t="s">
        <v>99</v>
      </c>
      <c r="V27" s="138">
        <v>55113690155</v>
      </c>
      <c r="W27" s="73">
        <v>2</v>
      </c>
      <c r="X27" s="89">
        <v>204.2</v>
      </c>
      <c r="Y27" s="90">
        <v>153</v>
      </c>
      <c r="Z27" s="89">
        <v>286.2</v>
      </c>
      <c r="AA27" s="90">
        <v>170</v>
      </c>
      <c r="AB27" s="77">
        <v>1.06</v>
      </c>
      <c r="AC27" s="90">
        <f t="shared" si="3"/>
        <v>1060</v>
      </c>
      <c r="AD27" s="128">
        <f>EXP(2.859+0.011*Z27-0.002*AC27+0.275*H27-1.952)</f>
        <v>14.114269421770787</v>
      </c>
      <c r="AE27" s="128">
        <f t="shared" si="4"/>
        <v>0.93383735779120181</v>
      </c>
      <c r="AF27" s="19">
        <v>20</v>
      </c>
      <c r="AG27" s="113">
        <v>45113.532719907409</v>
      </c>
      <c r="AH27" s="113">
        <v>45113.861226851855</v>
      </c>
      <c r="AI27" s="113">
        <v>45113.532719907409</v>
      </c>
      <c r="AJ27" s="113">
        <v>45113.861226851855</v>
      </c>
      <c r="AK27" s="78">
        <f t="shared" si="10"/>
        <v>53.45194444450317</v>
      </c>
      <c r="AL27" s="78">
        <f t="shared" si="11"/>
        <v>88.45194444450317</v>
      </c>
      <c r="AM27" s="114">
        <f>(AJ27-AI27)*24</f>
        <v>7.8841666667140089</v>
      </c>
      <c r="AN27" s="115">
        <v>7.8841666667140089</v>
      </c>
      <c r="AO27" s="19">
        <v>19</v>
      </c>
      <c r="AP27" s="79">
        <v>45113</v>
      </c>
      <c r="AQ27" s="69">
        <v>45113.625</v>
      </c>
      <c r="AR27" s="80">
        <v>16039811057</v>
      </c>
      <c r="AS27" s="81">
        <f t="shared" si="6"/>
        <v>2.2147222221828997</v>
      </c>
      <c r="AT27" s="82">
        <f t="shared" si="13"/>
        <v>64</v>
      </c>
      <c r="AU27" s="73" t="s">
        <v>13</v>
      </c>
      <c r="AV27" s="73">
        <v>2</v>
      </c>
      <c r="AW27" s="73" t="s">
        <v>13</v>
      </c>
      <c r="AX27" s="73">
        <v>2</v>
      </c>
      <c r="AY27" s="79">
        <v>45257</v>
      </c>
      <c r="AZ27" s="79">
        <f t="shared" si="7"/>
        <v>45258</v>
      </c>
      <c r="BA27" s="84" t="s">
        <v>1044</v>
      </c>
      <c r="BB27" s="84">
        <f t="shared" si="12"/>
        <v>144</v>
      </c>
      <c r="BC27" s="147"/>
      <c r="BD27" s="73"/>
    </row>
    <row r="28" spans="1:56" s="83" customFormat="1" x14ac:dyDescent="0.3">
      <c r="A28" s="18">
        <v>24</v>
      </c>
      <c r="B28" s="67">
        <v>16286813192</v>
      </c>
      <c r="C28" s="71">
        <v>213192</v>
      </c>
      <c r="D28" s="72">
        <v>1</v>
      </c>
      <c r="E28" s="72" t="s">
        <v>133</v>
      </c>
      <c r="F28" s="102">
        <v>25927</v>
      </c>
      <c r="G28" s="74">
        <v>44167</v>
      </c>
      <c r="H28" s="139">
        <f t="shared" si="2"/>
        <v>2.5863013698630137</v>
      </c>
      <c r="I28" s="74">
        <v>44899</v>
      </c>
      <c r="J28" s="68">
        <v>1</v>
      </c>
      <c r="K28" s="75">
        <f t="shared" si="0"/>
        <v>212</v>
      </c>
      <c r="L28" s="85">
        <v>68.2</v>
      </c>
      <c r="M28" s="76">
        <v>2.7</v>
      </c>
      <c r="N28" s="136">
        <v>45146</v>
      </c>
      <c r="O28" s="137">
        <v>59.57</v>
      </c>
      <c r="P28" s="137">
        <v>2.6</v>
      </c>
      <c r="Q28" s="136" t="s">
        <v>1025</v>
      </c>
      <c r="R28" s="140">
        <v>64.8</v>
      </c>
      <c r="S28" s="76">
        <v>2.8</v>
      </c>
      <c r="T28" s="76" t="s">
        <v>110</v>
      </c>
      <c r="U28" s="76" t="s">
        <v>99</v>
      </c>
      <c r="V28" s="138">
        <v>28034790323</v>
      </c>
      <c r="W28" s="73">
        <v>2</v>
      </c>
      <c r="X28" s="89">
        <v>268.2</v>
      </c>
      <c r="Y28" s="90">
        <v>148</v>
      </c>
      <c r="Z28" s="89">
        <v>307.89999999999998</v>
      </c>
      <c r="AA28" s="90">
        <v>164</v>
      </c>
      <c r="AB28" s="77">
        <v>1.54</v>
      </c>
      <c r="AC28" s="90">
        <f t="shared" si="3"/>
        <v>1540</v>
      </c>
      <c r="AD28" s="128">
        <f t="shared" si="8"/>
        <v>2.2414721878623891</v>
      </c>
      <c r="AE28" s="128">
        <f t="shared" si="4"/>
        <v>0.69149820142080043</v>
      </c>
      <c r="AF28" s="19"/>
      <c r="AG28" s="113"/>
      <c r="AH28" s="113"/>
      <c r="AI28" s="113"/>
      <c r="AJ28" s="113"/>
      <c r="AK28" s="78"/>
      <c r="AL28" s="78"/>
      <c r="AM28" s="114"/>
      <c r="AN28" s="115"/>
      <c r="AO28" s="19"/>
      <c r="AP28" s="79">
        <v>45113</v>
      </c>
      <c r="AQ28" s="69">
        <v>45113.625</v>
      </c>
      <c r="AR28" s="80">
        <v>55113411043</v>
      </c>
      <c r="AS28" s="81"/>
      <c r="AT28" s="82">
        <f t="shared" si="13"/>
        <v>64</v>
      </c>
      <c r="AU28" s="73" t="s">
        <v>1024</v>
      </c>
      <c r="AV28" s="73">
        <v>1</v>
      </c>
      <c r="AW28" s="73"/>
      <c r="AX28" s="73">
        <v>1</v>
      </c>
      <c r="AY28" s="79">
        <v>45281</v>
      </c>
      <c r="AZ28" s="79">
        <f t="shared" si="7"/>
        <v>45258</v>
      </c>
      <c r="BA28" s="73" t="s">
        <v>1045</v>
      </c>
      <c r="BB28" s="145">
        <f t="shared" si="12"/>
        <v>168</v>
      </c>
      <c r="BC28" s="146" t="s">
        <v>1050</v>
      </c>
      <c r="BD28" s="73"/>
    </row>
    <row r="29" spans="1:56" s="83" customFormat="1" x14ac:dyDescent="0.3">
      <c r="A29" s="18">
        <v>25</v>
      </c>
      <c r="B29" s="67">
        <v>16286813254</v>
      </c>
      <c r="C29" s="71">
        <v>213254</v>
      </c>
      <c r="D29" s="72">
        <v>1</v>
      </c>
      <c r="E29" s="72" t="s">
        <v>122</v>
      </c>
      <c r="F29" s="102">
        <v>25417</v>
      </c>
      <c r="G29" s="74">
        <v>44168</v>
      </c>
      <c r="H29" s="139">
        <f t="shared" si="2"/>
        <v>2.5835616438356164</v>
      </c>
      <c r="I29" s="74">
        <v>44895</v>
      </c>
      <c r="J29" s="68">
        <v>2</v>
      </c>
      <c r="K29" s="75">
        <f t="shared" si="0"/>
        <v>216</v>
      </c>
      <c r="L29" s="85">
        <v>63.6</v>
      </c>
      <c r="M29" s="76">
        <v>2.8</v>
      </c>
      <c r="N29" s="136">
        <v>45146</v>
      </c>
      <c r="O29" s="137">
        <v>59.99</v>
      </c>
      <c r="P29" s="137">
        <v>2.9</v>
      </c>
      <c r="Q29" s="136" t="s">
        <v>1025</v>
      </c>
      <c r="R29" s="140">
        <v>63</v>
      </c>
      <c r="S29" s="76">
        <v>3</v>
      </c>
      <c r="T29" s="76" t="s">
        <v>101</v>
      </c>
      <c r="U29" s="76" t="s">
        <v>1026</v>
      </c>
      <c r="V29" s="138">
        <v>16257671127</v>
      </c>
      <c r="W29" s="73">
        <v>2</v>
      </c>
      <c r="X29" s="89">
        <v>231.7</v>
      </c>
      <c r="Y29" s="90">
        <v>152</v>
      </c>
      <c r="Z29" s="89">
        <v>292.89999999999998</v>
      </c>
      <c r="AA29" s="90">
        <v>168</v>
      </c>
      <c r="AB29" s="77">
        <v>1.42</v>
      </c>
      <c r="AC29" s="90">
        <f t="shared" si="3"/>
        <v>1420</v>
      </c>
      <c r="AD29" s="128">
        <f t="shared" si="8"/>
        <v>2.4142277218622654</v>
      </c>
      <c r="AE29" s="128">
        <f t="shared" si="4"/>
        <v>0.70710799587364448</v>
      </c>
      <c r="AF29" s="19">
        <v>24</v>
      </c>
      <c r="AG29" s="113">
        <v>45113.696261574078</v>
      </c>
      <c r="AH29" s="113">
        <v>45114.763611111113</v>
      </c>
      <c r="AI29" s="113">
        <v>45113.696261574078</v>
      </c>
      <c r="AJ29" s="113">
        <v>45114.763611111113</v>
      </c>
      <c r="AK29" s="78">
        <f t="shared" si="10"/>
        <v>57.376944444549736</v>
      </c>
      <c r="AL29" s="78">
        <f t="shared" si="11"/>
        <v>92.376944444549736</v>
      </c>
      <c r="AM29" s="114">
        <f>(AJ29-AI29)*24</f>
        <v>25.616388888854999</v>
      </c>
      <c r="AN29" s="115">
        <v>25.616388888854999</v>
      </c>
      <c r="AO29" s="19">
        <v>10</v>
      </c>
      <c r="AP29" s="79">
        <v>45113</v>
      </c>
      <c r="AQ29" s="69">
        <v>45113.625</v>
      </c>
      <c r="AR29" s="80">
        <v>16103604078</v>
      </c>
      <c r="AS29" s="81">
        <f t="shared" si="6"/>
        <v>-1.7102777778636664</v>
      </c>
      <c r="AT29" s="82">
        <f t="shared" si="13"/>
        <v>64</v>
      </c>
      <c r="AU29" s="73" t="s">
        <v>13</v>
      </c>
      <c r="AV29" s="73">
        <v>2</v>
      </c>
      <c r="AW29" s="73" t="s">
        <v>13</v>
      </c>
      <c r="AX29" s="73">
        <v>2</v>
      </c>
      <c r="AY29" s="79">
        <v>45260</v>
      </c>
      <c r="AZ29" s="79">
        <f t="shared" si="7"/>
        <v>45258</v>
      </c>
      <c r="BA29" s="84" t="s">
        <v>1044</v>
      </c>
      <c r="BB29" s="84">
        <f t="shared" si="12"/>
        <v>147</v>
      </c>
      <c r="BC29" s="147" t="s">
        <v>1046</v>
      </c>
      <c r="BD29" s="73"/>
    </row>
    <row r="30" spans="1:56" s="83" customFormat="1" x14ac:dyDescent="0.3">
      <c r="A30" s="18">
        <v>26</v>
      </c>
      <c r="B30" s="67">
        <v>16286813261</v>
      </c>
      <c r="C30" s="71">
        <v>213261</v>
      </c>
      <c r="D30" s="72">
        <v>1</v>
      </c>
      <c r="E30" s="72" t="s">
        <v>128</v>
      </c>
      <c r="F30" s="102">
        <v>25845</v>
      </c>
      <c r="G30" s="74">
        <v>44168</v>
      </c>
      <c r="H30" s="139">
        <f t="shared" si="2"/>
        <v>2.5835616438356164</v>
      </c>
      <c r="I30" s="74">
        <v>44896</v>
      </c>
      <c r="J30" s="68">
        <v>1</v>
      </c>
      <c r="K30" s="75">
        <f t="shared" si="0"/>
        <v>215</v>
      </c>
      <c r="L30" s="85">
        <v>70.8</v>
      </c>
      <c r="M30" s="76">
        <v>3.4</v>
      </c>
      <c r="N30" s="136">
        <v>45145</v>
      </c>
      <c r="O30" s="137">
        <v>69.03</v>
      </c>
      <c r="P30" s="137">
        <v>3</v>
      </c>
      <c r="Q30" s="136" t="s">
        <v>1025</v>
      </c>
      <c r="R30" s="140">
        <v>71.7</v>
      </c>
      <c r="S30" s="76">
        <v>3.1</v>
      </c>
      <c r="T30" s="76" t="s">
        <v>101</v>
      </c>
      <c r="U30" s="76" t="s">
        <v>1023</v>
      </c>
      <c r="V30" s="138">
        <v>16306470205</v>
      </c>
      <c r="W30" s="73">
        <v>2</v>
      </c>
      <c r="X30" s="89">
        <v>228.1</v>
      </c>
      <c r="Y30" s="90">
        <v>153</v>
      </c>
      <c r="Z30" s="89">
        <v>268.8</v>
      </c>
      <c r="AA30" s="90">
        <v>167</v>
      </c>
      <c r="AB30" s="77">
        <v>1.21</v>
      </c>
      <c r="AC30" s="90">
        <f t="shared" si="3"/>
        <v>1210</v>
      </c>
      <c r="AD30" s="128">
        <f>EXP(2.859+0.011*Z30-0.002*AC30+0.275*H30-1.952)</f>
        <v>8.6216756096452922</v>
      </c>
      <c r="AE30" s="128">
        <f t="shared" si="4"/>
        <v>0.89606799890472866</v>
      </c>
      <c r="AF30" s="19">
        <v>13</v>
      </c>
      <c r="AG30" s="113">
        <v>45112.77103009259</v>
      </c>
      <c r="AH30" s="113">
        <v>45113.023159722223</v>
      </c>
      <c r="AI30" s="113">
        <v>45112.77103009259</v>
      </c>
      <c r="AJ30" s="113">
        <v>45113.023159722223</v>
      </c>
      <c r="AK30" s="78">
        <f t="shared" si="10"/>
        <v>35.171388888848014</v>
      </c>
      <c r="AL30" s="78">
        <f t="shared" si="11"/>
        <v>70.171388888848014</v>
      </c>
      <c r="AM30" s="114">
        <f>(AJ30-AI30)*24</f>
        <v>6.0511111111845821</v>
      </c>
      <c r="AN30" s="115">
        <v>6.0511111111845821</v>
      </c>
      <c r="AO30" s="19">
        <v>6</v>
      </c>
      <c r="AP30" s="79">
        <v>45113</v>
      </c>
      <c r="AQ30" s="69">
        <v>45113.625</v>
      </c>
      <c r="AR30" s="80">
        <v>16348503344</v>
      </c>
      <c r="AS30" s="81">
        <f t="shared" si="6"/>
        <v>20.495277777838055</v>
      </c>
      <c r="AT30" s="82">
        <f t="shared" si="13"/>
        <v>64</v>
      </c>
      <c r="AU30" s="73" t="s">
        <v>13</v>
      </c>
      <c r="AV30" s="73">
        <v>2</v>
      </c>
      <c r="AW30" s="73" t="s">
        <v>13</v>
      </c>
      <c r="AX30" s="73">
        <v>2</v>
      </c>
      <c r="AY30" s="79">
        <v>45259</v>
      </c>
      <c r="AZ30" s="79">
        <f t="shared" si="7"/>
        <v>45258</v>
      </c>
      <c r="BA30" s="84" t="s">
        <v>1044</v>
      </c>
      <c r="BB30" s="84">
        <f t="shared" si="12"/>
        <v>146</v>
      </c>
      <c r="BC30" s="147"/>
      <c r="BD30" s="73"/>
    </row>
    <row r="31" spans="1:56" s="83" customFormat="1" x14ac:dyDescent="0.3">
      <c r="A31" s="18">
        <v>27</v>
      </c>
      <c r="B31" s="67">
        <v>16286813282</v>
      </c>
      <c r="C31" s="71">
        <v>213282</v>
      </c>
      <c r="D31" s="72">
        <v>1</v>
      </c>
      <c r="E31" s="72" t="s">
        <v>126</v>
      </c>
      <c r="F31" s="102">
        <v>25499</v>
      </c>
      <c r="G31" s="74">
        <v>44168</v>
      </c>
      <c r="H31" s="139">
        <f t="shared" si="2"/>
        <v>2.5835616438356164</v>
      </c>
      <c r="I31" s="74">
        <v>44896</v>
      </c>
      <c r="J31" s="68">
        <v>1</v>
      </c>
      <c r="K31" s="75">
        <f t="shared" si="0"/>
        <v>215</v>
      </c>
      <c r="L31" s="85">
        <v>65.400000000000006</v>
      </c>
      <c r="M31" s="76">
        <v>2.9</v>
      </c>
      <c r="N31" s="136">
        <v>45146</v>
      </c>
      <c r="O31" s="137">
        <v>58.24</v>
      </c>
      <c r="P31" s="137">
        <v>2.7</v>
      </c>
      <c r="Q31" s="136" t="s">
        <v>1025</v>
      </c>
      <c r="R31" s="140">
        <v>62.1</v>
      </c>
      <c r="S31" s="76">
        <v>2.8</v>
      </c>
      <c r="T31" s="76" t="s">
        <v>101</v>
      </c>
      <c r="U31" s="76" t="s">
        <v>1023</v>
      </c>
      <c r="V31" s="138">
        <v>16024771188</v>
      </c>
      <c r="W31" s="73">
        <v>2</v>
      </c>
      <c r="X31" s="89">
        <v>247.6</v>
      </c>
      <c r="Y31" s="90">
        <v>133</v>
      </c>
      <c r="Z31" s="89">
        <v>390.6</v>
      </c>
      <c r="AA31" s="90">
        <v>167</v>
      </c>
      <c r="AB31" s="77">
        <v>1.71</v>
      </c>
      <c r="AC31" s="90">
        <f t="shared" si="3"/>
        <v>1710</v>
      </c>
      <c r="AD31" s="128">
        <f t="shared" si="8"/>
        <v>3.9593483437061399</v>
      </c>
      <c r="AE31" s="128">
        <f t="shared" si="4"/>
        <v>0.79836060492320737</v>
      </c>
      <c r="AF31" s="19"/>
      <c r="AG31" s="113"/>
      <c r="AH31" s="113"/>
      <c r="AI31" s="113"/>
      <c r="AJ31" s="113"/>
      <c r="AK31" s="78"/>
      <c r="AL31" s="78"/>
      <c r="AM31" s="114"/>
      <c r="AN31" s="115"/>
      <c r="AO31" s="19"/>
      <c r="AP31" s="79">
        <v>45113</v>
      </c>
      <c r="AQ31" s="69">
        <v>45113.625</v>
      </c>
      <c r="AR31" s="80">
        <v>16025403352</v>
      </c>
      <c r="AS31" s="81"/>
      <c r="AT31" s="82">
        <f t="shared" si="13"/>
        <v>64</v>
      </c>
      <c r="AU31" s="73" t="s">
        <v>1024</v>
      </c>
      <c r="AV31" s="73">
        <v>1</v>
      </c>
      <c r="AW31" s="73"/>
      <c r="AX31" s="73">
        <v>1</v>
      </c>
      <c r="AY31" s="79">
        <v>45276</v>
      </c>
      <c r="AZ31" s="79">
        <f t="shared" si="7"/>
        <v>45258</v>
      </c>
      <c r="BA31" s="73" t="s">
        <v>1045</v>
      </c>
      <c r="BB31" s="145">
        <f t="shared" si="12"/>
        <v>163</v>
      </c>
      <c r="BC31" s="146" t="s">
        <v>1050</v>
      </c>
      <c r="BD31" s="73"/>
    </row>
    <row r="32" spans="1:56" s="83" customFormat="1" x14ac:dyDescent="0.3">
      <c r="A32" s="18">
        <v>28</v>
      </c>
      <c r="B32" s="67">
        <v>16286813327</v>
      </c>
      <c r="C32" s="71">
        <v>213327</v>
      </c>
      <c r="D32" s="72">
        <v>1</v>
      </c>
      <c r="E32" s="88" t="s">
        <v>124</v>
      </c>
      <c r="F32" s="102">
        <v>25439</v>
      </c>
      <c r="G32" s="74">
        <v>44168</v>
      </c>
      <c r="H32" s="139">
        <f t="shared" si="2"/>
        <v>2.5835616438356164</v>
      </c>
      <c r="I32" s="74">
        <v>44898</v>
      </c>
      <c r="J32" s="68">
        <v>1</v>
      </c>
      <c r="K32" s="75">
        <f t="shared" si="0"/>
        <v>213</v>
      </c>
      <c r="L32" s="85">
        <v>68.8</v>
      </c>
      <c r="M32" s="76">
        <v>2.8</v>
      </c>
      <c r="N32" s="136">
        <v>45145</v>
      </c>
      <c r="O32" s="137">
        <v>66.81</v>
      </c>
      <c r="P32" s="137">
        <v>3</v>
      </c>
      <c r="Q32" s="136" t="s">
        <v>1025</v>
      </c>
      <c r="R32" s="140">
        <v>68.900000000000006</v>
      </c>
      <c r="S32" s="76">
        <v>3.2</v>
      </c>
      <c r="T32" s="76" t="s">
        <v>101</v>
      </c>
      <c r="U32" s="76" t="s">
        <v>1026</v>
      </c>
      <c r="V32" s="138">
        <v>35621071235</v>
      </c>
      <c r="W32" s="73">
        <v>2</v>
      </c>
      <c r="X32" s="89">
        <v>254.5</v>
      </c>
      <c r="Y32" s="90">
        <v>147</v>
      </c>
      <c r="Z32" s="89">
        <v>311.3</v>
      </c>
      <c r="AA32" s="90">
        <v>165</v>
      </c>
      <c r="AB32" s="77">
        <v>1.21</v>
      </c>
      <c r="AC32" s="90">
        <f t="shared" si="3"/>
        <v>1210</v>
      </c>
      <c r="AD32" s="128">
        <f t="shared" si="8"/>
        <v>4.4986594484683877</v>
      </c>
      <c r="AE32" s="128">
        <f t="shared" si="4"/>
        <v>0.81813749162470084</v>
      </c>
      <c r="AF32" s="19">
        <v>27</v>
      </c>
      <c r="AG32" s="113">
        <v>45113.931550925925</v>
      </c>
      <c r="AH32" s="113">
        <v>45113.931550925925</v>
      </c>
      <c r="AI32" s="113">
        <v>45113.931550925925</v>
      </c>
      <c r="AJ32" s="113">
        <v>45113.931550925925</v>
      </c>
      <c r="AK32" s="78">
        <f t="shared" si="10"/>
        <v>63.023888888885267</v>
      </c>
      <c r="AL32" s="78">
        <f t="shared" si="11"/>
        <v>98.023888888885267</v>
      </c>
      <c r="AM32" s="114">
        <f>(AJ32-AI32)*24</f>
        <v>0</v>
      </c>
      <c r="AN32" s="115">
        <v>1</v>
      </c>
      <c r="AO32" s="19">
        <v>1</v>
      </c>
      <c r="AP32" s="79">
        <v>45113</v>
      </c>
      <c r="AQ32" s="69">
        <v>45113.625</v>
      </c>
      <c r="AR32" s="80">
        <v>16363303380</v>
      </c>
      <c r="AS32" s="81">
        <f t="shared" si="6"/>
        <v>-7.3572222221991979</v>
      </c>
      <c r="AT32" s="82">
        <f t="shared" si="13"/>
        <v>64</v>
      </c>
      <c r="AU32" s="73" t="s">
        <v>13</v>
      </c>
      <c r="AV32" s="73">
        <v>1</v>
      </c>
      <c r="AW32" s="73" t="s">
        <v>13</v>
      </c>
      <c r="AX32" s="73">
        <v>1</v>
      </c>
      <c r="AY32" s="79">
        <v>45264</v>
      </c>
      <c r="AZ32" s="79">
        <f t="shared" si="7"/>
        <v>45258</v>
      </c>
      <c r="BA32" s="84" t="s">
        <v>1044</v>
      </c>
      <c r="BB32" s="84">
        <f t="shared" si="12"/>
        <v>151</v>
      </c>
      <c r="BC32" s="147" t="s">
        <v>1046</v>
      </c>
      <c r="BD32" s="73"/>
    </row>
    <row r="33" spans="1:56" s="83" customFormat="1" x14ac:dyDescent="0.3">
      <c r="A33" s="18">
        <v>29</v>
      </c>
      <c r="B33" s="67">
        <v>16286813348</v>
      </c>
      <c r="C33" s="71">
        <v>213348</v>
      </c>
      <c r="D33" s="72">
        <v>1</v>
      </c>
      <c r="E33" s="72" t="s">
        <v>130</v>
      </c>
      <c r="F33" s="102">
        <v>25681</v>
      </c>
      <c r="G33" s="74">
        <v>44169</v>
      </c>
      <c r="H33" s="139">
        <f t="shared" si="2"/>
        <v>2.580821917808219</v>
      </c>
      <c r="I33" s="74">
        <v>44898</v>
      </c>
      <c r="J33" s="68">
        <v>1</v>
      </c>
      <c r="K33" s="75">
        <f t="shared" si="0"/>
        <v>213</v>
      </c>
      <c r="L33" s="85">
        <v>68.099999999999994</v>
      </c>
      <c r="M33" s="76">
        <v>3.2</v>
      </c>
      <c r="N33" s="136">
        <v>45147</v>
      </c>
      <c r="O33" s="137">
        <v>65.22</v>
      </c>
      <c r="P33" s="137">
        <v>2.7</v>
      </c>
      <c r="Q33" s="136" t="s">
        <v>1025</v>
      </c>
      <c r="R33" s="140">
        <v>63.9</v>
      </c>
      <c r="S33" s="76">
        <v>2.8</v>
      </c>
      <c r="T33" s="76" t="s">
        <v>101</v>
      </c>
      <c r="U33" s="76" t="s">
        <v>99</v>
      </c>
      <c r="V33" s="138">
        <v>55096490034</v>
      </c>
      <c r="W33" s="73">
        <v>2</v>
      </c>
      <c r="X33" s="89">
        <v>295.39999999999998</v>
      </c>
      <c r="Y33" s="90">
        <v>150</v>
      </c>
      <c r="Z33" s="89">
        <v>237.2</v>
      </c>
      <c r="AA33" s="90">
        <v>165</v>
      </c>
      <c r="AB33" s="77">
        <v>1.58</v>
      </c>
      <c r="AC33" s="90">
        <f t="shared" si="3"/>
        <v>1580</v>
      </c>
      <c r="AD33" s="128">
        <f>EXP(2.859+0.011*Z33-0.002*AC33+0.275*H33-1.952)</f>
        <v>2.9035264845914233</v>
      </c>
      <c r="AE33" s="128">
        <f t="shared" si="4"/>
        <v>0.74382138716175028</v>
      </c>
      <c r="AF33" s="19">
        <v>10</v>
      </c>
      <c r="AG33" s="113">
        <v>45112.481898148151</v>
      </c>
      <c r="AH33" s="113">
        <v>45112.749976851854</v>
      </c>
      <c r="AI33" s="113">
        <v>45112.481898148151</v>
      </c>
      <c r="AJ33" s="113">
        <v>45112.749976851854</v>
      </c>
      <c r="AK33" s="78">
        <f t="shared" si="10"/>
        <v>28.232222222315613</v>
      </c>
      <c r="AL33" s="78">
        <f t="shared" si="11"/>
        <v>63.232222222315613</v>
      </c>
      <c r="AM33" s="114">
        <f>(AJ33-AI33)*24</f>
        <v>6.4338888888596557</v>
      </c>
      <c r="AN33" s="115">
        <v>6.4338888888596557</v>
      </c>
      <c r="AO33" s="19">
        <v>30</v>
      </c>
      <c r="AP33" s="79">
        <v>45113</v>
      </c>
      <c r="AQ33" s="69">
        <v>45113.625</v>
      </c>
      <c r="AR33" s="80">
        <v>16282721383</v>
      </c>
      <c r="AS33" s="81">
        <f t="shared" si="6"/>
        <v>27.434444444370456</v>
      </c>
      <c r="AT33" s="82">
        <f t="shared" si="13"/>
        <v>64</v>
      </c>
      <c r="AU33" s="73" t="s">
        <v>13</v>
      </c>
      <c r="AV33" s="73">
        <v>2</v>
      </c>
      <c r="AW33" s="73" t="s">
        <v>13</v>
      </c>
      <c r="AX33" s="73">
        <v>2</v>
      </c>
      <c r="AY33" s="79">
        <v>45260</v>
      </c>
      <c r="AZ33" s="79">
        <f t="shared" si="7"/>
        <v>45258</v>
      </c>
      <c r="BA33" s="84" t="s">
        <v>1044</v>
      </c>
      <c r="BB33" s="84">
        <f t="shared" si="12"/>
        <v>147</v>
      </c>
      <c r="BC33" s="147"/>
      <c r="BD33" s="73"/>
    </row>
    <row r="34" spans="1:56" s="83" customFormat="1" x14ac:dyDescent="0.3">
      <c r="A34" s="18">
        <v>30</v>
      </c>
      <c r="B34" s="67">
        <v>16286813385</v>
      </c>
      <c r="C34" s="71">
        <v>213385</v>
      </c>
      <c r="D34" s="72">
        <v>1</v>
      </c>
      <c r="E34" s="72" t="s">
        <v>125</v>
      </c>
      <c r="F34" s="102">
        <v>25486</v>
      </c>
      <c r="G34" s="74">
        <v>44170</v>
      </c>
      <c r="H34" s="139">
        <f t="shared" si="2"/>
        <v>2.5780821917808221</v>
      </c>
      <c r="I34" s="74">
        <v>44897</v>
      </c>
      <c r="J34" s="68">
        <v>1</v>
      </c>
      <c r="K34" s="75">
        <f t="shared" si="0"/>
        <v>214</v>
      </c>
      <c r="L34" s="85">
        <v>66.5</v>
      </c>
      <c r="M34" s="76">
        <v>2.9</v>
      </c>
      <c r="N34" s="136">
        <v>45147</v>
      </c>
      <c r="O34" s="137">
        <v>61.46</v>
      </c>
      <c r="P34" s="137">
        <v>2.9</v>
      </c>
      <c r="Q34" s="136" t="s">
        <v>1025</v>
      </c>
      <c r="R34" s="140">
        <v>62.7</v>
      </c>
      <c r="S34" s="76">
        <v>2.8</v>
      </c>
      <c r="T34" s="76" t="s">
        <v>101</v>
      </c>
      <c r="U34" s="76" t="s">
        <v>1023</v>
      </c>
      <c r="V34" s="138">
        <v>55074970399</v>
      </c>
      <c r="W34" s="73">
        <v>2</v>
      </c>
      <c r="X34" s="89">
        <v>315</v>
      </c>
      <c r="Y34" s="90">
        <v>149</v>
      </c>
      <c r="Z34" s="89">
        <v>402.7</v>
      </c>
      <c r="AA34" s="90">
        <v>166</v>
      </c>
      <c r="AB34" s="77">
        <v>1.87</v>
      </c>
      <c r="AC34" s="90">
        <f t="shared" si="3"/>
        <v>1870</v>
      </c>
      <c r="AD34" s="128">
        <f t="shared" si="8"/>
        <v>3.2794397593786675</v>
      </c>
      <c r="AE34" s="128">
        <f t="shared" si="4"/>
        <v>0.7663245526921052</v>
      </c>
      <c r="AF34" s="19">
        <v>21</v>
      </c>
      <c r="AG34" s="113">
        <v>45113.559525462966</v>
      </c>
      <c r="AH34" s="113">
        <v>45113.559525462966</v>
      </c>
      <c r="AI34" s="113">
        <v>45113.559525462966</v>
      </c>
      <c r="AJ34" s="113">
        <v>45113.559525462966</v>
      </c>
      <c r="AK34" s="78">
        <f t="shared" si="10"/>
        <v>54.09527777787298</v>
      </c>
      <c r="AL34" s="78">
        <f t="shared" si="11"/>
        <v>89.09527777787298</v>
      </c>
      <c r="AM34" s="114">
        <f>(AJ34-AI34)*24</f>
        <v>0</v>
      </c>
      <c r="AN34" s="115">
        <v>1</v>
      </c>
      <c r="AO34" s="19">
        <v>1</v>
      </c>
      <c r="AP34" s="79">
        <v>45113</v>
      </c>
      <c r="AQ34" s="69">
        <v>45113.625</v>
      </c>
      <c r="AR34" s="80">
        <v>16367304303</v>
      </c>
      <c r="AS34" s="81">
        <f t="shared" si="6"/>
        <v>1.5713888888130896</v>
      </c>
      <c r="AT34" s="82">
        <f t="shared" si="13"/>
        <v>64</v>
      </c>
      <c r="AU34" s="73" t="s">
        <v>13</v>
      </c>
      <c r="AV34" s="73">
        <v>1</v>
      </c>
      <c r="AW34" s="73" t="s">
        <v>13</v>
      </c>
      <c r="AX34" s="73">
        <v>1</v>
      </c>
      <c r="AY34" s="79">
        <v>45261</v>
      </c>
      <c r="AZ34" s="79">
        <f t="shared" si="7"/>
        <v>45258</v>
      </c>
      <c r="BA34" s="84" t="s">
        <v>1044</v>
      </c>
      <c r="BB34" s="84">
        <f t="shared" si="12"/>
        <v>148</v>
      </c>
      <c r="BC34" s="147"/>
      <c r="BD34" s="73"/>
    </row>
    <row r="35" spans="1:56" s="83" customFormat="1" x14ac:dyDescent="0.3">
      <c r="A35" s="18">
        <v>31</v>
      </c>
      <c r="B35" s="67">
        <v>16286813442</v>
      </c>
      <c r="C35" s="71">
        <v>213442</v>
      </c>
      <c r="D35" s="72">
        <v>1</v>
      </c>
      <c r="E35" s="72" t="s">
        <v>132</v>
      </c>
      <c r="F35" s="102">
        <v>25759</v>
      </c>
      <c r="G35" s="74">
        <v>44171</v>
      </c>
      <c r="H35" s="139">
        <f t="shared" si="2"/>
        <v>2.5753424657534247</v>
      </c>
      <c r="I35" s="74">
        <v>44897</v>
      </c>
      <c r="J35" s="68">
        <v>1</v>
      </c>
      <c r="K35" s="75">
        <f t="shared" si="0"/>
        <v>214</v>
      </c>
      <c r="L35" s="85">
        <v>65.2</v>
      </c>
      <c r="M35" s="76">
        <v>2.7</v>
      </c>
      <c r="N35" s="136">
        <v>45146</v>
      </c>
      <c r="O35" s="137">
        <v>59.72</v>
      </c>
      <c r="P35" s="137">
        <v>2.5</v>
      </c>
      <c r="Q35" s="136" t="s">
        <v>1025</v>
      </c>
      <c r="R35" s="140">
        <v>66.099999999999994</v>
      </c>
      <c r="S35" s="76">
        <v>2.7</v>
      </c>
      <c r="T35" s="76" t="s">
        <v>110</v>
      </c>
      <c r="U35" s="76" t="s">
        <v>99</v>
      </c>
      <c r="V35" s="138">
        <v>55096490034</v>
      </c>
      <c r="W35" s="73">
        <v>2</v>
      </c>
      <c r="X35" s="89">
        <v>261.5</v>
      </c>
      <c r="Y35" s="90">
        <v>152</v>
      </c>
      <c r="Z35" s="89">
        <v>358.4</v>
      </c>
      <c r="AA35" s="90">
        <v>166</v>
      </c>
      <c r="AB35" s="77">
        <v>1.97</v>
      </c>
      <c r="AC35" s="90">
        <f t="shared" si="3"/>
        <v>1970</v>
      </c>
      <c r="AD35" s="128">
        <f t="shared" si="8"/>
        <v>1.6480935210418899</v>
      </c>
      <c r="AE35" s="128">
        <f t="shared" si="4"/>
        <v>0.62236983246477229</v>
      </c>
      <c r="AF35" s="19">
        <v>11</v>
      </c>
      <c r="AG35" s="113">
        <v>45112.690335648149</v>
      </c>
      <c r="AH35" s="113">
        <v>45113.409768518519</v>
      </c>
      <c r="AI35" s="113">
        <v>45112.690335648149</v>
      </c>
      <c r="AJ35" s="113">
        <v>45113.409768518519</v>
      </c>
      <c r="AK35" s="78">
        <f t="shared" si="10"/>
        <v>33.234722222259734</v>
      </c>
      <c r="AL35" s="78">
        <f t="shared" si="11"/>
        <v>68.234722222259734</v>
      </c>
      <c r="AM35" s="114">
        <f>(AJ35-AI35)*24</f>
        <v>17.266388888878282</v>
      </c>
      <c r="AN35" s="115">
        <v>17.266388888878282</v>
      </c>
      <c r="AO35" s="19">
        <v>37</v>
      </c>
      <c r="AP35" s="79">
        <v>45113</v>
      </c>
      <c r="AQ35" s="69">
        <v>45113.625</v>
      </c>
      <c r="AR35" s="80">
        <v>16241422709</v>
      </c>
      <c r="AS35" s="81">
        <f t="shared" si="6"/>
        <v>22.431944444426335</v>
      </c>
      <c r="AT35" s="82">
        <f t="shared" si="13"/>
        <v>64</v>
      </c>
      <c r="AU35" s="73" t="s">
        <v>1024</v>
      </c>
      <c r="AV35" s="73">
        <v>1</v>
      </c>
      <c r="AW35" s="73"/>
      <c r="AX35" s="73">
        <v>1</v>
      </c>
      <c r="AY35" s="79">
        <v>45278</v>
      </c>
      <c r="AZ35" s="79">
        <f t="shared" si="7"/>
        <v>45258</v>
      </c>
      <c r="BA35" s="73" t="s">
        <v>1045</v>
      </c>
      <c r="BB35" s="145">
        <f t="shared" si="12"/>
        <v>165</v>
      </c>
      <c r="BC35" s="147" t="s">
        <v>1049</v>
      </c>
      <c r="BD35" s="73"/>
    </row>
    <row r="36" spans="1:56" s="83" customFormat="1" x14ac:dyDescent="0.3">
      <c r="A36" s="18">
        <v>32</v>
      </c>
      <c r="B36" s="67">
        <v>16286823044</v>
      </c>
      <c r="C36" s="71">
        <v>223044</v>
      </c>
      <c r="D36" s="72">
        <v>1</v>
      </c>
      <c r="E36" s="72" t="s">
        <v>145</v>
      </c>
      <c r="F36" s="102">
        <v>25916</v>
      </c>
      <c r="G36" s="74">
        <v>44528</v>
      </c>
      <c r="H36" s="139">
        <f t="shared" si="2"/>
        <v>1.5972602739726027</v>
      </c>
      <c r="I36" s="74">
        <v>44942</v>
      </c>
      <c r="J36" s="68">
        <v>1</v>
      </c>
      <c r="K36" s="75">
        <f t="shared" si="0"/>
        <v>169</v>
      </c>
      <c r="L36" s="85">
        <v>59.4</v>
      </c>
      <c r="M36" s="76">
        <v>3.1</v>
      </c>
      <c r="N36" s="136">
        <v>45147</v>
      </c>
      <c r="O36" s="137">
        <v>47.94</v>
      </c>
      <c r="P36" s="137">
        <v>2.7</v>
      </c>
      <c r="Q36" s="136" t="s">
        <v>1025</v>
      </c>
      <c r="R36" s="140">
        <v>53.3</v>
      </c>
      <c r="S36" s="76">
        <v>2.9</v>
      </c>
      <c r="T36" s="76" t="s">
        <v>101</v>
      </c>
      <c r="U36" s="76" t="s">
        <v>99</v>
      </c>
      <c r="V36" s="138">
        <v>16066170112</v>
      </c>
      <c r="W36" s="73">
        <v>1</v>
      </c>
      <c r="X36" s="89"/>
      <c r="Y36" s="90"/>
      <c r="Z36" s="89">
        <v>197.3</v>
      </c>
      <c r="AA36" s="90">
        <v>121</v>
      </c>
      <c r="AB36" s="77">
        <v>1.55</v>
      </c>
      <c r="AC36" s="90">
        <f t="shared" si="3"/>
        <v>1550</v>
      </c>
      <c r="AD36" s="128">
        <f t="shared" ref="AD36:AD37" si="14">EXP(2.859+0.011*Z36-0.002*AC36+0.275*H36-1.952)</f>
        <v>1.5167146411811083</v>
      </c>
      <c r="AE36" s="128">
        <f t="shared" si="4"/>
        <v>0.60265658106924092</v>
      </c>
      <c r="AF36" s="19">
        <v>7</v>
      </c>
      <c r="AG36" s="113">
        <v>45112.295335648145</v>
      </c>
      <c r="AH36" s="113">
        <v>45114.007835648146</v>
      </c>
      <c r="AI36" s="113">
        <v>45114.0078125</v>
      </c>
      <c r="AJ36" s="113">
        <v>45114.007835648146</v>
      </c>
      <c r="AK36" s="78">
        <f t="shared" si="10"/>
        <v>23.754722222161945</v>
      </c>
      <c r="AL36" s="78">
        <f t="shared" si="11"/>
        <v>58.754722222161945</v>
      </c>
      <c r="AM36" s="114">
        <f>(AJ36-AI36)*24</f>
        <v>5.5555551080033183E-4</v>
      </c>
      <c r="AN36" s="115">
        <v>1</v>
      </c>
      <c r="AO36" s="19">
        <v>3</v>
      </c>
      <c r="AP36" s="79">
        <v>45113</v>
      </c>
      <c r="AQ36" s="69">
        <v>45113.625</v>
      </c>
      <c r="AR36" s="80">
        <v>55113411043</v>
      </c>
      <c r="AS36" s="81">
        <f t="shared" si="6"/>
        <v>31.911944444524124</v>
      </c>
      <c r="AT36" s="82">
        <f t="shared" si="13"/>
        <v>64</v>
      </c>
      <c r="AU36" s="73" t="s">
        <v>13</v>
      </c>
      <c r="AV36" s="73">
        <v>1</v>
      </c>
      <c r="AW36" s="73" t="s">
        <v>13</v>
      </c>
      <c r="AX36" s="73">
        <v>1</v>
      </c>
      <c r="AY36" s="79">
        <v>45261</v>
      </c>
      <c r="AZ36" s="79">
        <f t="shared" si="7"/>
        <v>45258</v>
      </c>
      <c r="BA36" s="84" t="s">
        <v>1044</v>
      </c>
      <c r="BB36" s="84">
        <f t="shared" si="12"/>
        <v>148</v>
      </c>
      <c r="BC36" s="147"/>
      <c r="BD36" s="73"/>
    </row>
    <row r="37" spans="1:56" s="83" customFormat="1" x14ac:dyDescent="0.3">
      <c r="A37" s="18">
        <v>33</v>
      </c>
      <c r="B37" s="67">
        <v>16286823135</v>
      </c>
      <c r="C37" s="71">
        <v>223135</v>
      </c>
      <c r="D37" s="72">
        <v>1</v>
      </c>
      <c r="E37" s="72" t="s">
        <v>150</v>
      </c>
      <c r="F37" s="102">
        <v>25948</v>
      </c>
      <c r="G37" s="74">
        <v>44530</v>
      </c>
      <c r="H37" s="139">
        <f t="shared" si="2"/>
        <v>1.5917808219178082</v>
      </c>
      <c r="I37" s="74">
        <v>44946</v>
      </c>
      <c r="J37" s="68">
        <v>1</v>
      </c>
      <c r="K37" s="75">
        <f t="shared" si="0"/>
        <v>165</v>
      </c>
      <c r="L37" s="85">
        <v>59.6</v>
      </c>
      <c r="M37" s="76">
        <v>3.2</v>
      </c>
      <c r="N37" s="136">
        <v>45146</v>
      </c>
      <c r="O37" s="137">
        <v>49.13</v>
      </c>
      <c r="P37" s="137">
        <v>2.9</v>
      </c>
      <c r="Q37" s="136" t="s">
        <v>1025</v>
      </c>
      <c r="R37" s="140">
        <v>54.4</v>
      </c>
      <c r="S37" s="76">
        <v>2.8</v>
      </c>
      <c r="T37" s="76" t="s">
        <v>110</v>
      </c>
      <c r="U37" s="76" t="s">
        <v>99</v>
      </c>
      <c r="V37" s="138">
        <v>16377371156</v>
      </c>
      <c r="W37" s="73">
        <v>1</v>
      </c>
      <c r="X37" s="89"/>
      <c r="Y37" s="90"/>
      <c r="Z37" s="89">
        <v>157</v>
      </c>
      <c r="AA37" s="90">
        <v>117</v>
      </c>
      <c r="AB37" s="77">
        <v>1.57</v>
      </c>
      <c r="AC37" s="90">
        <f t="shared" si="3"/>
        <v>1570</v>
      </c>
      <c r="AD37" s="128">
        <f t="shared" si="14"/>
        <v>0.93401734153415417</v>
      </c>
      <c r="AE37" s="128">
        <f t="shared" si="4"/>
        <v>0.48294155459497967</v>
      </c>
      <c r="AF37" s="19"/>
      <c r="AG37" s="113"/>
      <c r="AH37" s="113"/>
      <c r="AI37" s="113"/>
      <c r="AJ37" s="113"/>
      <c r="AK37" s="78"/>
      <c r="AL37" s="78"/>
      <c r="AM37" s="114"/>
      <c r="AN37" s="115"/>
      <c r="AO37" s="19"/>
      <c r="AP37" s="79">
        <v>45113</v>
      </c>
      <c r="AQ37" s="69">
        <v>45113.625</v>
      </c>
      <c r="AR37" s="80">
        <v>16103604305</v>
      </c>
      <c r="AS37" s="81"/>
      <c r="AT37" s="82">
        <f t="shared" si="13"/>
        <v>64</v>
      </c>
      <c r="AU37" s="73" t="s">
        <v>1024</v>
      </c>
      <c r="AV37" s="73">
        <v>1</v>
      </c>
      <c r="AW37" s="73"/>
      <c r="AX37" s="73">
        <v>1</v>
      </c>
      <c r="AY37" s="79">
        <v>45282</v>
      </c>
      <c r="AZ37" s="79">
        <f t="shared" si="7"/>
        <v>45258</v>
      </c>
      <c r="BA37" s="73" t="s">
        <v>1045</v>
      </c>
      <c r="BB37" s="145">
        <f t="shared" si="12"/>
        <v>169</v>
      </c>
      <c r="BC37" s="146" t="s">
        <v>1050</v>
      </c>
      <c r="BD37" s="73"/>
    </row>
    <row r="38" spans="1:56" s="83" customFormat="1" x14ac:dyDescent="0.3">
      <c r="A38" s="18">
        <v>34</v>
      </c>
      <c r="B38" s="67">
        <v>16286823148</v>
      </c>
      <c r="C38" s="71">
        <v>223148</v>
      </c>
      <c r="D38" s="72">
        <v>1</v>
      </c>
      <c r="E38" s="72" t="s">
        <v>144</v>
      </c>
      <c r="F38" s="102">
        <v>25368</v>
      </c>
      <c r="G38" s="74">
        <v>44531</v>
      </c>
      <c r="H38" s="139">
        <f t="shared" si="2"/>
        <v>1.5890410958904109</v>
      </c>
      <c r="I38" s="74">
        <v>44945</v>
      </c>
      <c r="J38" s="68">
        <v>1</v>
      </c>
      <c r="K38" s="75">
        <f t="shared" si="0"/>
        <v>166</v>
      </c>
      <c r="L38" s="85">
        <v>58.2</v>
      </c>
      <c r="M38" s="76">
        <v>2.7</v>
      </c>
      <c r="N38" s="136">
        <v>45146</v>
      </c>
      <c r="O38" s="137">
        <v>48.16</v>
      </c>
      <c r="P38" s="137">
        <v>2.5</v>
      </c>
      <c r="Q38" s="136" t="s">
        <v>1025</v>
      </c>
      <c r="R38" s="140">
        <v>51.3</v>
      </c>
      <c r="S38" s="76">
        <v>2.7</v>
      </c>
      <c r="T38" s="76" t="s">
        <v>101</v>
      </c>
      <c r="U38" s="76" t="s">
        <v>99</v>
      </c>
      <c r="V38" s="138">
        <v>16025403135</v>
      </c>
      <c r="W38" s="73">
        <v>1</v>
      </c>
      <c r="X38" s="89"/>
      <c r="Y38" s="90"/>
      <c r="Z38" s="89">
        <v>209.4</v>
      </c>
      <c r="AA38" s="90">
        <v>118</v>
      </c>
      <c r="AB38" s="77">
        <v>1.81</v>
      </c>
      <c r="AC38" s="90">
        <f t="shared" si="3"/>
        <v>1810</v>
      </c>
      <c r="AD38" s="128">
        <f t="shared" si="8"/>
        <v>0.33601022140610398</v>
      </c>
      <c r="AE38" s="128">
        <f t="shared" si="4"/>
        <v>0.25150273255579209</v>
      </c>
      <c r="AF38" s="19">
        <v>31</v>
      </c>
      <c r="AG38" s="113">
        <v>45114.130046296297</v>
      </c>
      <c r="AH38" s="113">
        <v>45114.152418981481</v>
      </c>
      <c r="AI38" s="113">
        <v>45114.130046296297</v>
      </c>
      <c r="AJ38" s="113">
        <v>45114.152418981481</v>
      </c>
      <c r="AK38" s="78">
        <f t="shared" si="10"/>
        <v>67.787777777819429</v>
      </c>
      <c r="AL38" s="78">
        <f t="shared" si="11"/>
        <v>102.78777777781943</v>
      </c>
      <c r="AM38" s="114">
        <f>(AJ38-AI38)*24</f>
        <v>0.53694444440770894</v>
      </c>
      <c r="AN38" s="115">
        <v>1</v>
      </c>
      <c r="AO38" s="19">
        <v>4</v>
      </c>
      <c r="AP38" s="79">
        <v>45113</v>
      </c>
      <c r="AQ38" s="69">
        <v>45113.625</v>
      </c>
      <c r="AR38" s="80">
        <v>16164221019</v>
      </c>
      <c r="AS38" s="81">
        <f t="shared" si="6"/>
        <v>-12.121111111133359</v>
      </c>
      <c r="AT38" s="82">
        <f t="shared" si="13"/>
        <v>64</v>
      </c>
      <c r="AU38" s="73" t="s">
        <v>1027</v>
      </c>
      <c r="AV38" s="73"/>
      <c r="AW38" s="73"/>
      <c r="AX38" s="73"/>
      <c r="AY38" s="79"/>
      <c r="AZ38" s="79">
        <f t="shared" si="7"/>
        <v>45258</v>
      </c>
      <c r="BA38" s="73"/>
      <c r="BB38" s="73"/>
      <c r="BC38" s="147"/>
      <c r="BD38" s="73"/>
    </row>
    <row r="39" spans="1:56" s="83" customFormat="1" x14ac:dyDescent="0.3">
      <c r="A39" s="18">
        <v>35</v>
      </c>
      <c r="B39" s="67">
        <v>16286823161</v>
      </c>
      <c r="C39" s="71">
        <v>223161</v>
      </c>
      <c r="D39" s="72">
        <v>1</v>
      </c>
      <c r="E39" s="72" t="s">
        <v>140</v>
      </c>
      <c r="F39" s="102">
        <v>25392</v>
      </c>
      <c r="G39" s="74">
        <v>44531</v>
      </c>
      <c r="H39" s="139">
        <f t="shared" si="2"/>
        <v>1.5890410958904109</v>
      </c>
      <c r="I39" s="74">
        <v>44942</v>
      </c>
      <c r="J39" s="68">
        <v>1</v>
      </c>
      <c r="K39" s="75">
        <f t="shared" si="0"/>
        <v>169</v>
      </c>
      <c r="L39" s="85">
        <v>59.5</v>
      </c>
      <c r="M39" s="76">
        <v>2.8</v>
      </c>
      <c r="N39" s="136">
        <v>45146</v>
      </c>
      <c r="O39" s="137">
        <v>46.67</v>
      </c>
      <c r="P39" s="137">
        <v>2.5</v>
      </c>
      <c r="Q39" s="136" t="s">
        <v>1028</v>
      </c>
      <c r="R39" s="140">
        <v>50.6</v>
      </c>
      <c r="S39" s="76">
        <v>2.6</v>
      </c>
      <c r="T39" s="76" t="s">
        <v>101</v>
      </c>
      <c r="U39" s="76" t="s">
        <v>1023</v>
      </c>
      <c r="V39" s="138">
        <v>16083960354</v>
      </c>
      <c r="W39" s="73">
        <v>1</v>
      </c>
      <c r="X39" s="89"/>
      <c r="Y39" s="90"/>
      <c r="Z39" s="89">
        <v>229.7</v>
      </c>
      <c r="AA39" s="90">
        <v>121</v>
      </c>
      <c r="AB39" s="77">
        <v>1.94</v>
      </c>
      <c r="AC39" s="90">
        <f t="shared" si="3"/>
        <v>1940</v>
      </c>
      <c r="AD39" s="128">
        <f t="shared" si="8"/>
        <v>0.32390218768457857</v>
      </c>
      <c r="AE39" s="128">
        <f t="shared" si="4"/>
        <v>0.24465718895069061</v>
      </c>
      <c r="AF39" s="19">
        <v>1</v>
      </c>
      <c r="AG39" s="113">
        <v>45111.34752314815</v>
      </c>
      <c r="AH39" s="113">
        <v>45114.163518518515</v>
      </c>
      <c r="AI39" s="113">
        <v>45114.062673611108</v>
      </c>
      <c r="AJ39" s="113">
        <v>45114.163518518515</v>
      </c>
      <c r="AK39" s="78">
        <f t="shared" si="10"/>
        <v>1.0072222222806886</v>
      </c>
      <c r="AL39" s="78">
        <f t="shared" si="11"/>
        <v>36.007222222280689</v>
      </c>
      <c r="AM39" s="114">
        <f>(AJ39-AI39)*24</f>
        <v>2.4202777777682059</v>
      </c>
      <c r="AN39" s="115">
        <v>2.4202777777682059</v>
      </c>
      <c r="AO39" s="19">
        <v>18</v>
      </c>
      <c r="AP39" s="79">
        <v>45113</v>
      </c>
      <c r="AQ39" s="69">
        <v>45113.625</v>
      </c>
      <c r="AR39" s="80">
        <v>16367304303</v>
      </c>
      <c r="AS39" s="81">
        <f t="shared" si="6"/>
        <v>54.659444444405381</v>
      </c>
      <c r="AT39" s="82">
        <f t="shared" si="13"/>
        <v>64</v>
      </c>
      <c r="AU39" s="73" t="s">
        <v>1024</v>
      </c>
      <c r="AV39" s="73">
        <v>1</v>
      </c>
      <c r="AW39" s="73"/>
      <c r="AX39" s="73">
        <v>1</v>
      </c>
      <c r="AY39" s="79">
        <v>45278</v>
      </c>
      <c r="AZ39" s="79">
        <f t="shared" si="7"/>
        <v>45258</v>
      </c>
      <c r="BA39" s="73" t="s">
        <v>1045</v>
      </c>
      <c r="BB39" s="145">
        <f t="shared" ref="BB39:BB43" si="15">AY39-AP39</f>
        <v>165</v>
      </c>
      <c r="BC39" s="147" t="s">
        <v>1049</v>
      </c>
      <c r="BD39" s="73"/>
    </row>
    <row r="40" spans="1:56" s="83" customFormat="1" x14ac:dyDescent="0.3">
      <c r="A40" s="18">
        <v>36</v>
      </c>
      <c r="B40" s="67">
        <v>16286823215</v>
      </c>
      <c r="C40" s="71">
        <v>223215</v>
      </c>
      <c r="D40" s="72">
        <v>1</v>
      </c>
      <c r="E40" s="72" t="s">
        <v>139</v>
      </c>
      <c r="F40" s="102">
        <v>25093</v>
      </c>
      <c r="G40" s="74">
        <v>44531</v>
      </c>
      <c r="H40" s="139">
        <f t="shared" si="2"/>
        <v>1.5890410958904109</v>
      </c>
      <c r="I40" s="74">
        <v>44945</v>
      </c>
      <c r="J40" s="68">
        <v>1</v>
      </c>
      <c r="K40" s="75">
        <f t="shared" si="0"/>
        <v>166</v>
      </c>
      <c r="L40" s="85">
        <v>50.7</v>
      </c>
      <c r="M40" s="76">
        <v>2.7</v>
      </c>
      <c r="N40" s="136">
        <v>45146</v>
      </c>
      <c r="O40" s="137">
        <v>41.46</v>
      </c>
      <c r="P40" s="137">
        <v>2.4</v>
      </c>
      <c r="Q40" s="136" t="s">
        <v>1028</v>
      </c>
      <c r="R40" s="140">
        <v>47.8</v>
      </c>
      <c r="S40" s="76">
        <v>2.7</v>
      </c>
      <c r="T40" s="76" t="s">
        <v>101</v>
      </c>
      <c r="U40" s="76" t="s">
        <v>1023</v>
      </c>
      <c r="V40" s="138">
        <v>16083960354</v>
      </c>
      <c r="W40" s="73">
        <v>1</v>
      </c>
      <c r="X40" s="89"/>
      <c r="Y40" s="90"/>
      <c r="Z40" s="89">
        <v>174.5</v>
      </c>
      <c r="AA40" s="90">
        <v>118</v>
      </c>
      <c r="AB40" s="77">
        <v>1.84</v>
      </c>
      <c r="AC40" s="90">
        <f t="shared" si="3"/>
        <v>1840</v>
      </c>
      <c r="AD40" s="128">
        <f t="shared" si="8"/>
        <v>0.21556049304808575</v>
      </c>
      <c r="AE40" s="128">
        <f t="shared" si="4"/>
        <v>0.17733423739986465</v>
      </c>
      <c r="AF40" s="19"/>
      <c r="AG40" s="113"/>
      <c r="AH40" s="113"/>
      <c r="AI40" s="113"/>
      <c r="AJ40" s="113"/>
      <c r="AK40" s="78"/>
      <c r="AL40" s="78"/>
      <c r="AM40" s="114"/>
      <c r="AN40" s="115"/>
      <c r="AO40" s="19"/>
      <c r="AP40" s="79">
        <v>45113</v>
      </c>
      <c r="AQ40" s="69">
        <v>45113.625</v>
      </c>
      <c r="AR40" s="80">
        <v>16025403352</v>
      </c>
      <c r="AS40" s="81"/>
      <c r="AT40" s="82">
        <f t="shared" si="13"/>
        <v>64</v>
      </c>
      <c r="AU40" s="73" t="s">
        <v>13</v>
      </c>
      <c r="AV40" s="73">
        <v>1</v>
      </c>
      <c r="AW40" s="73" t="s">
        <v>13</v>
      </c>
      <c r="AX40" s="73">
        <v>2</v>
      </c>
      <c r="AY40" s="79">
        <v>45263</v>
      </c>
      <c r="AZ40" s="79">
        <f t="shared" si="7"/>
        <v>45258</v>
      </c>
      <c r="BA40" s="84" t="s">
        <v>1044</v>
      </c>
      <c r="BB40" s="84">
        <f t="shared" si="15"/>
        <v>150</v>
      </c>
      <c r="BC40" s="146" t="s">
        <v>1050</v>
      </c>
      <c r="BD40" s="73"/>
    </row>
    <row r="41" spans="1:56" s="83" customFormat="1" x14ac:dyDescent="0.3">
      <c r="A41" s="18">
        <v>37</v>
      </c>
      <c r="B41" s="67">
        <v>16286823220</v>
      </c>
      <c r="C41" s="71">
        <v>223220</v>
      </c>
      <c r="D41" s="72">
        <v>1</v>
      </c>
      <c r="E41" s="72" t="s">
        <v>149</v>
      </c>
      <c r="F41" s="102">
        <v>25167</v>
      </c>
      <c r="G41" s="74">
        <v>44531</v>
      </c>
      <c r="H41" s="139">
        <f t="shared" si="2"/>
        <v>1.5890410958904109</v>
      </c>
      <c r="I41" s="74">
        <v>44944</v>
      </c>
      <c r="J41" s="68">
        <v>2</v>
      </c>
      <c r="K41" s="75">
        <f t="shared" si="0"/>
        <v>167</v>
      </c>
      <c r="L41" s="85">
        <v>63.8</v>
      </c>
      <c r="M41" s="76">
        <v>2.6</v>
      </c>
      <c r="N41" s="136">
        <v>45146</v>
      </c>
      <c r="O41" s="137">
        <v>56.35</v>
      </c>
      <c r="P41" s="137">
        <v>2.6</v>
      </c>
      <c r="Q41" s="136" t="s">
        <v>1025</v>
      </c>
      <c r="R41" s="140">
        <v>61.3</v>
      </c>
      <c r="S41" s="76">
        <v>2.7</v>
      </c>
      <c r="T41" s="76" t="s">
        <v>110</v>
      </c>
      <c r="U41" s="76" t="s">
        <v>99</v>
      </c>
      <c r="V41" s="138">
        <v>16164990189</v>
      </c>
      <c r="W41" s="73">
        <v>1</v>
      </c>
      <c r="X41" s="89"/>
      <c r="Y41" s="90"/>
      <c r="Z41" s="89">
        <v>212.5</v>
      </c>
      <c r="AA41" s="90">
        <v>119</v>
      </c>
      <c r="AB41" s="77">
        <v>1.87</v>
      </c>
      <c r="AC41" s="90">
        <f t="shared" si="3"/>
        <v>1870</v>
      </c>
      <c r="AD41" s="128">
        <f t="shared" si="8"/>
        <v>0.30835187443898271</v>
      </c>
      <c r="AE41" s="128">
        <f t="shared" si="4"/>
        <v>0.23567962141010657</v>
      </c>
      <c r="AF41" s="19">
        <v>26</v>
      </c>
      <c r="AG41" s="113">
        <v>45113.923425925925</v>
      </c>
      <c r="AH41" s="113">
        <v>45113.937025462961</v>
      </c>
      <c r="AI41" s="113">
        <v>45113.923425925925</v>
      </c>
      <c r="AJ41" s="113">
        <v>45113.937025462961</v>
      </c>
      <c r="AK41" s="78">
        <f t="shared" si="10"/>
        <v>62.828888888878282</v>
      </c>
      <c r="AL41" s="78">
        <f t="shared" si="11"/>
        <v>97.828888888878282</v>
      </c>
      <c r="AM41" s="114">
        <f>(AJ41-AI41)*24</f>
        <v>0.32638888887595385</v>
      </c>
      <c r="AN41" s="115">
        <v>1</v>
      </c>
      <c r="AO41" s="19">
        <v>2</v>
      </c>
      <c r="AP41" s="79">
        <v>45113</v>
      </c>
      <c r="AQ41" s="69">
        <v>45113.625</v>
      </c>
      <c r="AR41" s="80">
        <v>16031711395</v>
      </c>
      <c r="AS41" s="81">
        <f t="shared" si="6"/>
        <v>-7.1622222221922129</v>
      </c>
      <c r="AT41" s="82">
        <f t="shared" si="13"/>
        <v>64</v>
      </c>
      <c r="AU41" s="73" t="s">
        <v>13</v>
      </c>
      <c r="AV41" s="73">
        <v>2</v>
      </c>
      <c r="AW41" s="73" t="s">
        <v>13</v>
      </c>
      <c r="AX41" s="73">
        <v>2</v>
      </c>
      <c r="AY41" s="79">
        <v>45261</v>
      </c>
      <c r="AZ41" s="79">
        <f t="shared" si="7"/>
        <v>45258</v>
      </c>
      <c r="BA41" s="84" t="s">
        <v>1044</v>
      </c>
      <c r="BB41" s="84">
        <f t="shared" si="15"/>
        <v>148</v>
      </c>
      <c r="BC41" s="147" t="s">
        <v>1046</v>
      </c>
      <c r="BD41" s="73"/>
    </row>
    <row r="42" spans="1:56" s="83" customFormat="1" x14ac:dyDescent="0.3">
      <c r="A42" s="18">
        <v>38</v>
      </c>
      <c r="B42" s="67">
        <v>16286823223</v>
      </c>
      <c r="C42" s="71">
        <v>223223</v>
      </c>
      <c r="D42" s="72">
        <v>1</v>
      </c>
      <c r="E42" s="72" t="s">
        <v>142</v>
      </c>
      <c r="F42" s="102">
        <v>25801</v>
      </c>
      <c r="G42" s="74">
        <v>44531</v>
      </c>
      <c r="H42" s="139">
        <f t="shared" si="2"/>
        <v>1.5890410958904109</v>
      </c>
      <c r="I42" s="74">
        <v>44944</v>
      </c>
      <c r="J42" s="68">
        <v>2</v>
      </c>
      <c r="K42" s="75">
        <f t="shared" si="0"/>
        <v>167</v>
      </c>
      <c r="L42" s="85">
        <v>52.1</v>
      </c>
      <c r="M42" s="76">
        <v>2.6</v>
      </c>
      <c r="N42" s="136">
        <v>45146</v>
      </c>
      <c r="O42" s="137">
        <v>42.87</v>
      </c>
      <c r="P42" s="137">
        <v>2.4</v>
      </c>
      <c r="Q42" s="136" t="s">
        <v>1028</v>
      </c>
      <c r="R42" s="140">
        <v>52.1</v>
      </c>
      <c r="S42" s="76">
        <v>2.6</v>
      </c>
      <c r="T42" s="76" t="s">
        <v>101</v>
      </c>
      <c r="U42" s="76" t="s">
        <v>1023</v>
      </c>
      <c r="V42" s="138">
        <v>16235680179</v>
      </c>
      <c r="W42" s="73">
        <v>1</v>
      </c>
      <c r="X42" s="89"/>
      <c r="Y42" s="90"/>
      <c r="Z42" s="89">
        <v>198.8</v>
      </c>
      <c r="AA42" s="90">
        <v>119</v>
      </c>
      <c r="AB42" s="77">
        <v>1.72</v>
      </c>
      <c r="AC42" s="90">
        <f t="shared" si="3"/>
        <v>1720</v>
      </c>
      <c r="AD42" s="128">
        <f t="shared" si="8"/>
        <v>0.35800307664778558</v>
      </c>
      <c r="AE42" s="128">
        <f t="shared" si="4"/>
        <v>0.26362464327511831</v>
      </c>
      <c r="AF42" s="19">
        <v>29</v>
      </c>
      <c r="AG42" s="113">
        <v>45113.995833333334</v>
      </c>
      <c r="AH42" s="113">
        <v>45114.239166666666</v>
      </c>
      <c r="AI42" s="113">
        <v>45113.995833333334</v>
      </c>
      <c r="AJ42" s="113">
        <v>45114.239166666666</v>
      </c>
      <c r="AK42" s="78">
        <f t="shared" si="10"/>
        <v>64.566666666709352</v>
      </c>
      <c r="AL42" s="78">
        <f t="shared" si="11"/>
        <v>99.566666666709352</v>
      </c>
      <c r="AM42" s="114">
        <f>(AJ42-AI42)*24</f>
        <v>5.8399999999674037</v>
      </c>
      <c r="AN42" s="115">
        <v>5.8399999999674037</v>
      </c>
      <c r="AO42" s="19">
        <v>6</v>
      </c>
      <c r="AP42" s="79">
        <v>45113</v>
      </c>
      <c r="AQ42" s="69">
        <v>45113.625</v>
      </c>
      <c r="AR42" s="80">
        <v>16025403352</v>
      </c>
      <c r="AS42" s="81">
        <f t="shared" si="6"/>
        <v>-8.9000000000232831</v>
      </c>
      <c r="AT42" s="82">
        <f t="shared" si="13"/>
        <v>64</v>
      </c>
      <c r="AU42" s="73" t="s">
        <v>13</v>
      </c>
      <c r="AV42" s="73">
        <v>2</v>
      </c>
      <c r="AW42" s="73" t="s">
        <v>13</v>
      </c>
      <c r="AX42" s="73">
        <v>1</v>
      </c>
      <c r="AY42" s="79">
        <v>45262</v>
      </c>
      <c r="AZ42" s="79">
        <f t="shared" si="7"/>
        <v>45258</v>
      </c>
      <c r="BA42" s="84" t="s">
        <v>1044</v>
      </c>
      <c r="BB42" s="84">
        <f t="shared" si="15"/>
        <v>149</v>
      </c>
      <c r="BC42" s="147" t="s">
        <v>1046</v>
      </c>
      <c r="BD42" s="73"/>
    </row>
    <row r="43" spans="1:56" s="83" customFormat="1" x14ac:dyDescent="0.3">
      <c r="A43" s="18">
        <v>39</v>
      </c>
      <c r="B43" s="67">
        <v>16286823258</v>
      </c>
      <c r="C43" s="71">
        <v>223258</v>
      </c>
      <c r="D43" s="72">
        <v>1</v>
      </c>
      <c r="E43" s="72" t="s">
        <v>148</v>
      </c>
      <c r="F43" s="102">
        <v>25757</v>
      </c>
      <c r="G43" s="74">
        <v>44532</v>
      </c>
      <c r="H43" s="139">
        <f t="shared" si="2"/>
        <v>1.5863013698630137</v>
      </c>
      <c r="I43" s="74">
        <v>44945</v>
      </c>
      <c r="J43" s="70">
        <v>3</v>
      </c>
      <c r="K43" s="75">
        <f t="shared" si="0"/>
        <v>166</v>
      </c>
      <c r="L43" s="85">
        <v>62.8</v>
      </c>
      <c r="M43" s="76">
        <v>2.7</v>
      </c>
      <c r="N43" s="136">
        <v>45146</v>
      </c>
      <c r="O43" s="137">
        <v>48.55</v>
      </c>
      <c r="P43" s="137">
        <v>2.4</v>
      </c>
      <c r="Q43" s="136" t="s">
        <v>1028</v>
      </c>
      <c r="R43" s="140">
        <v>56.3</v>
      </c>
      <c r="S43" s="76">
        <v>2.6</v>
      </c>
      <c r="T43" s="76" t="s">
        <v>110</v>
      </c>
      <c r="U43" s="76" t="s">
        <v>99</v>
      </c>
      <c r="V43" s="138">
        <v>55075190162</v>
      </c>
      <c r="W43" s="73">
        <v>1</v>
      </c>
      <c r="X43" s="89"/>
      <c r="Y43" s="90"/>
      <c r="Z43" s="89">
        <v>176.8</v>
      </c>
      <c r="AA43" s="90">
        <v>118</v>
      </c>
      <c r="AB43" s="77">
        <v>1.77</v>
      </c>
      <c r="AC43" s="90">
        <f t="shared" si="3"/>
        <v>1770</v>
      </c>
      <c r="AD43" s="128">
        <f t="shared" si="8"/>
        <v>0.25411531389154124</v>
      </c>
      <c r="AE43" s="128">
        <f t="shared" si="4"/>
        <v>0.2026251582105453</v>
      </c>
      <c r="AF43" s="19">
        <v>25</v>
      </c>
      <c r="AG43" s="113">
        <v>45113.71671296296</v>
      </c>
      <c r="AH43" s="113">
        <v>45113.991527777776</v>
      </c>
      <c r="AI43" s="113">
        <v>45113.71671296296</v>
      </c>
      <c r="AJ43" s="113">
        <v>45113.991527777776</v>
      </c>
      <c r="AK43" s="78">
        <f t="shared" si="10"/>
        <v>57.867777777719311</v>
      </c>
      <c r="AL43" s="78">
        <f t="shared" si="11"/>
        <v>92.867777777719311</v>
      </c>
      <c r="AM43" s="114">
        <f>(AJ43-AI43)*24</f>
        <v>6.595555555599276</v>
      </c>
      <c r="AN43" s="115">
        <v>6.595555555599276</v>
      </c>
      <c r="AO43" s="19">
        <v>5</v>
      </c>
      <c r="AP43" s="79">
        <v>45113</v>
      </c>
      <c r="AQ43" s="69">
        <v>45113.625</v>
      </c>
      <c r="AR43" s="80">
        <v>16039811057</v>
      </c>
      <c r="AS43" s="81">
        <f t="shared" si="6"/>
        <v>-2.2011111110332422</v>
      </c>
      <c r="AT43" s="82">
        <f t="shared" si="13"/>
        <v>64</v>
      </c>
      <c r="AU43" s="73" t="s">
        <v>13</v>
      </c>
      <c r="AV43" s="73">
        <v>1</v>
      </c>
      <c r="AW43" s="73" t="s">
        <v>13</v>
      </c>
      <c r="AX43" s="73">
        <v>1</v>
      </c>
      <c r="AY43" s="79">
        <v>45264</v>
      </c>
      <c r="AZ43" s="79">
        <f t="shared" si="7"/>
        <v>45258</v>
      </c>
      <c r="BA43" s="84" t="s">
        <v>1044</v>
      </c>
      <c r="BB43" s="84">
        <f t="shared" si="15"/>
        <v>151</v>
      </c>
      <c r="BC43" s="147" t="s">
        <v>1046</v>
      </c>
      <c r="BD43" s="73"/>
    </row>
    <row r="44" spans="1:56" s="83" customFormat="1" x14ac:dyDescent="0.3">
      <c r="A44" s="18">
        <v>40</v>
      </c>
      <c r="B44" s="67">
        <v>16286823270</v>
      </c>
      <c r="C44" s="71">
        <v>223270</v>
      </c>
      <c r="D44" s="72">
        <v>1</v>
      </c>
      <c r="E44" s="72" t="s">
        <v>134</v>
      </c>
      <c r="F44" s="102">
        <v>25294</v>
      </c>
      <c r="G44" s="74">
        <v>44532</v>
      </c>
      <c r="H44" s="139">
        <f t="shared" si="2"/>
        <v>1.5863013698630137</v>
      </c>
      <c r="I44" s="74">
        <v>44942</v>
      </c>
      <c r="J44" s="68">
        <v>2</v>
      </c>
      <c r="K44" s="75">
        <f t="shared" si="0"/>
        <v>169</v>
      </c>
      <c r="L44" s="85">
        <v>49.2</v>
      </c>
      <c r="M44" s="76">
        <v>2.6</v>
      </c>
      <c r="N44" s="136">
        <v>45147</v>
      </c>
      <c r="O44" s="137">
        <v>41.88</v>
      </c>
      <c r="P44" s="137">
        <v>2.4</v>
      </c>
      <c r="Q44" s="136" t="s">
        <v>1028</v>
      </c>
      <c r="R44" s="140">
        <v>46.7</v>
      </c>
      <c r="S44" s="76">
        <v>2.6</v>
      </c>
      <c r="T44" s="76" t="s">
        <v>101</v>
      </c>
      <c r="U44" s="76" t="s">
        <v>1026</v>
      </c>
      <c r="V44" s="138">
        <v>55113480075</v>
      </c>
      <c r="W44" s="73">
        <v>1</v>
      </c>
      <c r="X44" s="89"/>
      <c r="Y44" s="90"/>
      <c r="Z44" s="89">
        <v>197.4</v>
      </c>
      <c r="AA44" s="90">
        <v>121</v>
      </c>
      <c r="AB44" s="77">
        <v>1.37</v>
      </c>
      <c r="AC44" s="90">
        <f t="shared" si="3"/>
        <v>1370</v>
      </c>
      <c r="AD44" s="128">
        <f t="shared" si="8"/>
        <v>0.70937773466341636</v>
      </c>
      <c r="AE44" s="128">
        <f t="shared" si="4"/>
        <v>0.41499179513011258</v>
      </c>
      <c r="AF44" s="19"/>
      <c r="AG44" s="113"/>
      <c r="AH44" s="113"/>
      <c r="AI44" s="113"/>
      <c r="AJ44" s="113"/>
      <c r="AK44" s="78"/>
      <c r="AL44" s="78"/>
      <c r="AM44" s="114"/>
      <c r="AN44" s="115"/>
      <c r="AO44" s="19"/>
      <c r="AP44" s="79">
        <v>45113</v>
      </c>
      <c r="AQ44" s="69">
        <v>45113.625</v>
      </c>
      <c r="AR44" s="80">
        <v>16103604078</v>
      </c>
      <c r="AS44" s="81"/>
      <c r="AT44" s="82">
        <f t="shared" si="13"/>
        <v>64</v>
      </c>
      <c r="AU44" s="73" t="s">
        <v>1027</v>
      </c>
      <c r="AV44" s="73"/>
      <c r="AW44" s="73"/>
      <c r="AX44" s="73"/>
      <c r="AY44" s="79"/>
      <c r="AZ44" s="79">
        <f t="shared" si="7"/>
        <v>45258</v>
      </c>
      <c r="BA44" s="73"/>
      <c r="BB44" s="73"/>
      <c r="BC44" s="146" t="s">
        <v>1047</v>
      </c>
      <c r="BD44" s="73"/>
    </row>
    <row r="45" spans="1:56" s="83" customFormat="1" x14ac:dyDescent="0.3">
      <c r="A45" s="18">
        <v>41</v>
      </c>
      <c r="B45" s="67">
        <v>16286823280</v>
      </c>
      <c r="C45" s="71">
        <v>223280</v>
      </c>
      <c r="D45" s="72">
        <v>1</v>
      </c>
      <c r="E45" s="72" t="s">
        <v>137</v>
      </c>
      <c r="F45" s="102">
        <v>25215</v>
      </c>
      <c r="G45" s="74">
        <v>44532</v>
      </c>
      <c r="H45" s="139">
        <f t="shared" si="2"/>
        <v>1.5863013698630137</v>
      </c>
      <c r="I45" s="74">
        <v>44943</v>
      </c>
      <c r="J45" s="68">
        <v>1</v>
      </c>
      <c r="K45" s="75">
        <f t="shared" si="0"/>
        <v>168</v>
      </c>
      <c r="L45" s="85">
        <v>62.1</v>
      </c>
      <c r="M45" s="76">
        <v>2.7</v>
      </c>
      <c r="N45" s="136">
        <v>45145</v>
      </c>
      <c r="O45" s="137">
        <v>45.48</v>
      </c>
      <c r="P45" s="137">
        <v>2.2000000000000002</v>
      </c>
      <c r="Q45" s="136" t="s">
        <v>1028</v>
      </c>
      <c r="R45" s="140">
        <v>50.6</v>
      </c>
      <c r="S45" s="76">
        <v>2.5</v>
      </c>
      <c r="T45" s="76" t="s">
        <v>101</v>
      </c>
      <c r="U45" s="76" t="s">
        <v>1026</v>
      </c>
      <c r="V45" s="138">
        <v>16120180108</v>
      </c>
      <c r="W45" s="73">
        <v>1</v>
      </c>
      <c r="X45" s="89"/>
      <c r="Y45" s="90"/>
      <c r="Z45" s="89">
        <v>250.6</v>
      </c>
      <c r="AA45" s="90">
        <v>120</v>
      </c>
      <c r="AB45" s="77">
        <v>2.06</v>
      </c>
      <c r="AC45" s="90">
        <f t="shared" si="3"/>
        <v>2060</v>
      </c>
      <c r="AD45" s="128">
        <f t="shared" si="8"/>
        <v>0.32040574818784645</v>
      </c>
      <c r="AE45" s="128">
        <f t="shared" si="4"/>
        <v>0.24265703828355661</v>
      </c>
      <c r="AF45" s="19"/>
      <c r="AG45" s="113"/>
      <c r="AH45" s="113"/>
      <c r="AI45" s="113"/>
      <c r="AJ45" s="113"/>
      <c r="AK45" s="78"/>
      <c r="AL45" s="78"/>
      <c r="AM45" s="114"/>
      <c r="AN45" s="115"/>
      <c r="AO45" s="19"/>
      <c r="AP45" s="79">
        <v>45113</v>
      </c>
      <c r="AQ45" s="69">
        <v>45113.625</v>
      </c>
      <c r="AR45" s="80">
        <v>16363303380</v>
      </c>
      <c r="AS45" s="81"/>
      <c r="AT45" s="82">
        <f t="shared" si="13"/>
        <v>64</v>
      </c>
      <c r="AU45" s="73" t="s">
        <v>1027</v>
      </c>
      <c r="AV45" s="73"/>
      <c r="AW45" s="73"/>
      <c r="AX45" s="73"/>
      <c r="AY45" s="79"/>
      <c r="AZ45" s="79">
        <f t="shared" si="7"/>
        <v>45258</v>
      </c>
      <c r="BA45" s="73"/>
      <c r="BB45" s="73"/>
      <c r="BC45" s="146" t="s">
        <v>1047</v>
      </c>
      <c r="BD45" s="73"/>
    </row>
    <row r="46" spans="1:56" s="83" customFormat="1" x14ac:dyDescent="0.3">
      <c r="A46" s="18">
        <v>42</v>
      </c>
      <c r="B46" s="67">
        <v>16286823292</v>
      </c>
      <c r="C46" s="71">
        <v>223292</v>
      </c>
      <c r="D46" s="72">
        <v>1</v>
      </c>
      <c r="E46" s="72" t="s">
        <v>136</v>
      </c>
      <c r="F46" s="102">
        <v>25230</v>
      </c>
      <c r="G46" s="74">
        <v>44532</v>
      </c>
      <c r="H46" s="139">
        <f t="shared" si="2"/>
        <v>1.5863013698630137</v>
      </c>
      <c r="I46" s="74">
        <v>44943</v>
      </c>
      <c r="J46" s="68">
        <v>2</v>
      </c>
      <c r="K46" s="75">
        <f t="shared" si="0"/>
        <v>168</v>
      </c>
      <c r="L46" s="85">
        <v>64.7</v>
      </c>
      <c r="M46" s="76">
        <v>2.7</v>
      </c>
      <c r="N46" s="136">
        <v>45145</v>
      </c>
      <c r="O46" s="137">
        <v>52.1</v>
      </c>
      <c r="P46" s="137">
        <v>2.2999999999999998</v>
      </c>
      <c r="Q46" s="136" t="s">
        <v>1028</v>
      </c>
      <c r="R46" s="140">
        <v>59.5</v>
      </c>
      <c r="S46" s="76">
        <v>2.7</v>
      </c>
      <c r="T46" s="76" t="s">
        <v>101</v>
      </c>
      <c r="U46" s="76" t="s">
        <v>1026</v>
      </c>
      <c r="V46" s="138">
        <v>55153280347</v>
      </c>
      <c r="W46" s="73">
        <v>1</v>
      </c>
      <c r="X46" s="89"/>
      <c r="Y46" s="90"/>
      <c r="Z46" s="89">
        <v>212.4</v>
      </c>
      <c r="AA46" s="90">
        <v>120</v>
      </c>
      <c r="AB46" s="77">
        <v>1.61</v>
      </c>
      <c r="AC46" s="90">
        <f t="shared" si="3"/>
        <v>1610</v>
      </c>
      <c r="AD46" s="128">
        <f t="shared" si="8"/>
        <v>0.51769597841154835</v>
      </c>
      <c r="AE46" s="128">
        <f t="shared" si="4"/>
        <v>0.34110650998323094</v>
      </c>
      <c r="AF46" s="19">
        <v>2</v>
      </c>
      <c r="AG46" s="113">
        <v>45111.357199074075</v>
      </c>
      <c r="AH46" s="113">
        <v>45113.445381944446</v>
      </c>
      <c r="AI46" s="113">
        <v>45113.4453587963</v>
      </c>
      <c r="AJ46" s="113">
        <v>45113.445381944446</v>
      </c>
      <c r="AK46" s="78">
        <f t="shared" si="10"/>
        <v>1.2394444444798864</v>
      </c>
      <c r="AL46" s="78">
        <f t="shared" si="11"/>
        <v>36.239444444479886</v>
      </c>
      <c r="AM46" s="114">
        <f>(AJ46-AI46)*24</f>
        <v>5.5555551080033183E-4</v>
      </c>
      <c r="AN46" s="115">
        <v>1</v>
      </c>
      <c r="AO46" s="19">
        <v>3</v>
      </c>
      <c r="AP46" s="79">
        <v>45113</v>
      </c>
      <c r="AQ46" s="69">
        <v>45113.625</v>
      </c>
      <c r="AR46" s="80">
        <v>55131900500</v>
      </c>
      <c r="AS46" s="81">
        <f t="shared" si="6"/>
        <v>54.427222222206183</v>
      </c>
      <c r="AT46" s="82">
        <f t="shared" si="13"/>
        <v>64</v>
      </c>
      <c r="AU46" s="73" t="s">
        <v>13</v>
      </c>
      <c r="AV46" s="73">
        <v>1</v>
      </c>
      <c r="AW46" s="73" t="s">
        <v>13</v>
      </c>
      <c r="AX46" s="73">
        <v>1</v>
      </c>
      <c r="AY46" s="79">
        <v>45262</v>
      </c>
      <c r="AZ46" s="79">
        <f t="shared" si="7"/>
        <v>45258</v>
      </c>
      <c r="BA46" s="84" t="s">
        <v>1044</v>
      </c>
      <c r="BB46" s="84">
        <f>AY46-AP46</f>
        <v>149</v>
      </c>
      <c r="BC46" s="147"/>
      <c r="BD46" s="73"/>
    </row>
    <row r="47" spans="1:56" s="83" customFormat="1" x14ac:dyDescent="0.3">
      <c r="A47" s="18">
        <v>43</v>
      </c>
      <c r="B47" s="67">
        <v>16286823373</v>
      </c>
      <c r="C47" s="71">
        <v>223373</v>
      </c>
      <c r="D47" s="72">
        <v>1</v>
      </c>
      <c r="E47" s="72" t="s">
        <v>143</v>
      </c>
      <c r="F47" s="102">
        <v>25741</v>
      </c>
      <c r="G47" s="74">
        <v>44533</v>
      </c>
      <c r="H47" s="139">
        <f t="shared" si="2"/>
        <v>1.5835616438356164</v>
      </c>
      <c r="I47" s="74">
        <v>44942</v>
      </c>
      <c r="J47" s="68">
        <v>1</v>
      </c>
      <c r="K47" s="75">
        <f t="shared" si="0"/>
        <v>169</v>
      </c>
      <c r="L47" s="85">
        <v>69.7</v>
      </c>
      <c r="M47" s="76">
        <v>2.8</v>
      </c>
      <c r="N47" s="136">
        <v>45147</v>
      </c>
      <c r="O47" s="137">
        <v>61.97</v>
      </c>
      <c r="P47" s="137">
        <v>2.6</v>
      </c>
      <c r="Q47" s="136" t="s">
        <v>1025</v>
      </c>
      <c r="R47" s="140">
        <v>61</v>
      </c>
      <c r="S47" s="76">
        <v>2.7</v>
      </c>
      <c r="T47" s="76" t="s">
        <v>101</v>
      </c>
      <c r="U47" s="76" t="s">
        <v>99</v>
      </c>
      <c r="V47" s="138">
        <v>16272980218</v>
      </c>
      <c r="W47" s="73">
        <v>1</v>
      </c>
      <c r="X47" s="89"/>
      <c r="Y47" s="90"/>
      <c r="Z47" s="89">
        <v>227.7</v>
      </c>
      <c r="AA47" s="90">
        <v>121</v>
      </c>
      <c r="AB47" s="77">
        <v>2.27</v>
      </c>
      <c r="AC47" s="90">
        <f t="shared" si="3"/>
        <v>2270</v>
      </c>
      <c r="AD47" s="128">
        <f t="shared" si="8"/>
        <v>0.16351990581603773</v>
      </c>
      <c r="AE47" s="128">
        <f t="shared" si="4"/>
        <v>0.14053898433422385</v>
      </c>
      <c r="AF47" s="19">
        <v>5</v>
      </c>
      <c r="AG47" s="113">
        <v>45111.881863425922</v>
      </c>
      <c r="AH47" s="113">
        <v>45111.881863425922</v>
      </c>
      <c r="AI47" s="113">
        <v>45111.881863425922</v>
      </c>
      <c r="AJ47" s="113">
        <v>45111.881863425922</v>
      </c>
      <c r="AK47" s="78">
        <f t="shared" si="10"/>
        <v>13.831388888822403</v>
      </c>
      <c r="AL47" s="78">
        <f t="shared" si="11"/>
        <v>48.831388888822403</v>
      </c>
      <c r="AM47" s="114">
        <f>(AJ47-AI47)*24</f>
        <v>0</v>
      </c>
      <c r="AN47" s="115">
        <v>1</v>
      </c>
      <c r="AO47" s="19">
        <v>1</v>
      </c>
      <c r="AP47" s="79">
        <v>45113</v>
      </c>
      <c r="AQ47" s="69">
        <v>45113.625</v>
      </c>
      <c r="AR47" s="80">
        <v>16156822442</v>
      </c>
      <c r="AS47" s="81">
        <f t="shared" si="6"/>
        <v>41.835277777863666</v>
      </c>
      <c r="AT47" s="82">
        <f t="shared" si="13"/>
        <v>64</v>
      </c>
      <c r="AU47" s="73" t="s">
        <v>1024</v>
      </c>
      <c r="AV47" s="73">
        <v>2</v>
      </c>
      <c r="AW47" s="73" t="s">
        <v>1024</v>
      </c>
      <c r="AX47" s="73">
        <v>2</v>
      </c>
      <c r="AY47" s="79">
        <v>45274</v>
      </c>
      <c r="AZ47" s="79">
        <f t="shared" si="7"/>
        <v>45258</v>
      </c>
      <c r="BA47" s="73" t="s">
        <v>1045</v>
      </c>
      <c r="BB47" s="145">
        <f t="shared" ref="BB47" si="16">AY47-AP47</f>
        <v>161</v>
      </c>
      <c r="BC47" s="147" t="s">
        <v>1049</v>
      </c>
      <c r="BD47" s="73"/>
    </row>
    <row r="48" spans="1:56" s="83" customFormat="1" x14ac:dyDescent="0.3">
      <c r="A48" s="18">
        <v>44</v>
      </c>
      <c r="B48" s="67">
        <v>16286823401</v>
      </c>
      <c r="C48" s="71">
        <v>223401</v>
      </c>
      <c r="D48" s="72">
        <v>1</v>
      </c>
      <c r="E48" s="72" t="s">
        <v>135</v>
      </c>
      <c r="F48" s="102">
        <v>25742</v>
      </c>
      <c r="G48" s="74">
        <v>44533</v>
      </c>
      <c r="H48" s="139">
        <f t="shared" si="2"/>
        <v>1.5835616438356164</v>
      </c>
      <c r="I48" s="74">
        <v>44943</v>
      </c>
      <c r="J48" s="68">
        <v>1</v>
      </c>
      <c r="K48" s="75">
        <f t="shared" si="0"/>
        <v>168</v>
      </c>
      <c r="L48" s="85">
        <v>56.6</v>
      </c>
      <c r="M48" s="76">
        <v>2.7</v>
      </c>
      <c r="N48" s="136">
        <v>45145</v>
      </c>
      <c r="O48" s="137">
        <v>42.59</v>
      </c>
      <c r="P48" s="137">
        <v>2.2000000000000002</v>
      </c>
      <c r="Q48" s="136" t="s">
        <v>1028</v>
      </c>
      <c r="R48" s="140">
        <v>49.2</v>
      </c>
      <c r="S48" s="76">
        <v>2.5</v>
      </c>
      <c r="T48" s="76" t="s">
        <v>101</v>
      </c>
      <c r="U48" s="76" t="s">
        <v>1026</v>
      </c>
      <c r="V48" s="138">
        <v>55153280347</v>
      </c>
      <c r="W48" s="73">
        <v>1</v>
      </c>
      <c r="X48" s="89"/>
      <c r="Y48" s="90"/>
      <c r="Z48" s="89">
        <v>188.6</v>
      </c>
      <c r="AA48" s="90">
        <v>120</v>
      </c>
      <c r="AB48" s="77">
        <v>1.41</v>
      </c>
      <c r="AC48" s="90">
        <f t="shared" si="3"/>
        <v>1410</v>
      </c>
      <c r="AD48" s="128">
        <f t="shared" si="8"/>
        <v>0.59397351512498875</v>
      </c>
      <c r="AE48" s="128">
        <f t="shared" si="4"/>
        <v>0.37263700399589972</v>
      </c>
      <c r="AF48" s="19"/>
      <c r="AG48" s="113"/>
      <c r="AH48" s="113"/>
      <c r="AI48" s="113"/>
      <c r="AJ48" s="113"/>
      <c r="AK48" s="78"/>
      <c r="AL48" s="78"/>
      <c r="AM48" s="114"/>
      <c r="AN48" s="115"/>
      <c r="AO48" s="19"/>
      <c r="AP48" s="79">
        <v>45113</v>
      </c>
      <c r="AQ48" s="69">
        <v>45113.625</v>
      </c>
      <c r="AR48" s="80">
        <v>16363303380</v>
      </c>
      <c r="AS48" s="81"/>
      <c r="AT48" s="82">
        <f t="shared" si="13"/>
        <v>64</v>
      </c>
      <c r="AU48" s="73" t="s">
        <v>13</v>
      </c>
      <c r="AV48" s="73">
        <v>1</v>
      </c>
      <c r="AW48" s="73"/>
      <c r="AX48" s="73"/>
      <c r="AY48" s="79"/>
      <c r="AZ48" s="79">
        <f t="shared" si="7"/>
        <v>45258</v>
      </c>
      <c r="BA48" s="73"/>
      <c r="BB48" s="73"/>
      <c r="BC48" s="146" t="s">
        <v>1047</v>
      </c>
      <c r="BD48" s="73"/>
    </row>
    <row r="49" spans="1:56" s="83" customFormat="1" x14ac:dyDescent="0.3">
      <c r="A49" s="18">
        <v>45</v>
      </c>
      <c r="B49" s="67">
        <v>16286823404</v>
      </c>
      <c r="C49" s="71">
        <v>223404</v>
      </c>
      <c r="D49" s="72">
        <v>1</v>
      </c>
      <c r="E49" s="72" t="s">
        <v>147</v>
      </c>
      <c r="F49" s="102">
        <v>25060</v>
      </c>
      <c r="G49" s="74">
        <v>44533</v>
      </c>
      <c r="H49" s="139">
        <f t="shared" si="2"/>
        <v>1.5835616438356164</v>
      </c>
      <c r="I49" s="74">
        <v>44944</v>
      </c>
      <c r="J49" s="68">
        <v>1</v>
      </c>
      <c r="K49" s="75">
        <f t="shared" si="0"/>
        <v>167</v>
      </c>
      <c r="L49" s="85">
        <v>60.2</v>
      </c>
      <c r="M49" s="76">
        <v>2.8</v>
      </c>
      <c r="N49" s="136">
        <v>45146</v>
      </c>
      <c r="O49" s="137">
        <v>52.29</v>
      </c>
      <c r="P49" s="137">
        <v>2.5</v>
      </c>
      <c r="Q49" s="136" t="s">
        <v>1025</v>
      </c>
      <c r="R49" s="140">
        <v>56.4</v>
      </c>
      <c r="S49" s="76">
        <v>2.7</v>
      </c>
      <c r="T49" s="76" t="s">
        <v>110</v>
      </c>
      <c r="U49" s="76" t="s">
        <v>99</v>
      </c>
      <c r="V49" s="138">
        <v>55131900487</v>
      </c>
      <c r="W49" s="73">
        <v>1</v>
      </c>
      <c r="X49" s="89"/>
      <c r="Y49" s="90"/>
      <c r="Z49" s="89">
        <v>217.7</v>
      </c>
      <c r="AA49" s="90">
        <v>119</v>
      </c>
      <c r="AB49" s="77">
        <v>1.98</v>
      </c>
      <c r="AC49" s="90">
        <f t="shared" si="3"/>
        <v>1980</v>
      </c>
      <c r="AD49" s="128">
        <f t="shared" si="8"/>
        <v>0.2616308997811102</v>
      </c>
      <c r="AE49" s="128">
        <f t="shared" si="4"/>
        <v>0.20737515213562263</v>
      </c>
      <c r="AF49" s="19"/>
      <c r="AG49" s="113"/>
      <c r="AH49" s="113"/>
      <c r="AI49" s="113"/>
      <c r="AJ49" s="113"/>
      <c r="AK49" s="78"/>
      <c r="AL49" s="78"/>
      <c r="AM49" s="114"/>
      <c r="AN49" s="115"/>
      <c r="AO49" s="19"/>
      <c r="AP49" s="79">
        <v>45113</v>
      </c>
      <c r="AQ49" s="69">
        <v>45113.625</v>
      </c>
      <c r="AR49" s="80">
        <v>16289111785</v>
      </c>
      <c r="AS49" s="81"/>
      <c r="AT49" s="82">
        <f t="shared" si="13"/>
        <v>64</v>
      </c>
      <c r="AU49" s="73" t="s">
        <v>13</v>
      </c>
      <c r="AV49" s="73">
        <v>1</v>
      </c>
      <c r="AW49" s="73" t="s">
        <v>13</v>
      </c>
      <c r="AX49" s="73">
        <v>1</v>
      </c>
      <c r="AY49" s="79">
        <v>45263</v>
      </c>
      <c r="AZ49" s="79">
        <f t="shared" si="7"/>
        <v>45258</v>
      </c>
      <c r="BA49" s="84" t="s">
        <v>1044</v>
      </c>
      <c r="BB49" s="84">
        <f>AY49-AP49</f>
        <v>150</v>
      </c>
      <c r="BC49" s="146" t="s">
        <v>1050</v>
      </c>
      <c r="BD49" s="73"/>
    </row>
    <row r="50" spans="1:56" s="83" customFormat="1" x14ac:dyDescent="0.3">
      <c r="A50" s="18">
        <v>46</v>
      </c>
      <c r="B50" s="67">
        <v>16286823419</v>
      </c>
      <c r="C50" s="71">
        <v>223419</v>
      </c>
      <c r="D50" s="72">
        <v>1</v>
      </c>
      <c r="E50" s="72" t="s">
        <v>138</v>
      </c>
      <c r="F50" s="102">
        <v>25312</v>
      </c>
      <c r="G50" s="74">
        <v>44533</v>
      </c>
      <c r="H50" s="139">
        <f t="shared" si="2"/>
        <v>1.5835616438356164</v>
      </c>
      <c r="I50" s="74">
        <v>44943</v>
      </c>
      <c r="J50" s="70">
        <v>1</v>
      </c>
      <c r="K50" s="75">
        <f t="shared" si="0"/>
        <v>168</v>
      </c>
      <c r="L50" s="85">
        <v>57.2</v>
      </c>
      <c r="M50" s="76">
        <v>3.2</v>
      </c>
      <c r="N50" s="136">
        <v>45146</v>
      </c>
      <c r="O50" s="137">
        <v>47.08</v>
      </c>
      <c r="P50" s="137">
        <v>2.7</v>
      </c>
      <c r="Q50" s="136" t="s">
        <v>1025</v>
      </c>
      <c r="R50" s="140">
        <v>48.1</v>
      </c>
      <c r="S50" s="76">
        <v>2.8</v>
      </c>
      <c r="T50" s="76" t="s">
        <v>101</v>
      </c>
      <c r="U50" s="76" t="s">
        <v>1023</v>
      </c>
      <c r="V50" s="138">
        <v>16001280313</v>
      </c>
      <c r="W50" s="73">
        <v>1</v>
      </c>
      <c r="X50" s="89"/>
      <c r="Y50" s="90"/>
      <c r="Z50" s="89">
        <v>187.6</v>
      </c>
      <c r="AA50" s="90">
        <v>120</v>
      </c>
      <c r="AB50" s="77">
        <v>1.52</v>
      </c>
      <c r="AC50" s="90">
        <f t="shared" si="3"/>
        <v>1520</v>
      </c>
      <c r="AD50" s="128">
        <f t="shared" ref="AD50:AD51" si="17">EXP(2.859+0.011*Z50-0.002*AC50+0.275*H50-1.952)</f>
        <v>1.4420698135128502</v>
      </c>
      <c r="AE50" s="128">
        <f t="shared" si="4"/>
        <v>0.59051129723374807</v>
      </c>
      <c r="AF50" s="19">
        <v>32</v>
      </c>
      <c r="AG50" s="113">
        <v>45114.743738425925</v>
      </c>
      <c r="AH50" s="113">
        <v>45114.743738425925</v>
      </c>
      <c r="AI50" s="113">
        <v>45114.743738425925</v>
      </c>
      <c r="AJ50" s="113">
        <v>45114.743738425925</v>
      </c>
      <c r="AK50" s="78">
        <f t="shared" si="10"/>
        <v>82.516388888878282</v>
      </c>
      <c r="AL50" s="78">
        <f t="shared" si="11"/>
        <v>117.51638888887828</v>
      </c>
      <c r="AM50" s="114">
        <f>(AJ50-AI50)*24</f>
        <v>0</v>
      </c>
      <c r="AN50" s="115">
        <v>1</v>
      </c>
      <c r="AO50" s="19">
        <v>1</v>
      </c>
      <c r="AP50" s="79">
        <v>45113</v>
      </c>
      <c r="AQ50" s="69">
        <v>45113.625</v>
      </c>
      <c r="AR50" s="80">
        <v>16367304303</v>
      </c>
      <c r="AS50" s="81">
        <f t="shared" si="6"/>
        <v>-26.849722222192213</v>
      </c>
      <c r="AT50" s="82">
        <f t="shared" si="13"/>
        <v>64</v>
      </c>
      <c r="AU50" s="73" t="s">
        <v>1024</v>
      </c>
      <c r="AV50" s="73">
        <v>1</v>
      </c>
      <c r="AW50" s="73"/>
      <c r="AX50" s="73"/>
      <c r="AY50" s="79"/>
      <c r="AZ50" s="79">
        <f t="shared" si="7"/>
        <v>45258</v>
      </c>
      <c r="BA50" s="73"/>
      <c r="BB50" s="73"/>
      <c r="BC50" s="147" t="s">
        <v>1048</v>
      </c>
      <c r="BD50" s="73"/>
    </row>
    <row r="51" spans="1:56" s="83" customFormat="1" x14ac:dyDescent="0.3">
      <c r="A51" s="18">
        <v>47</v>
      </c>
      <c r="B51" s="67">
        <v>16286823437</v>
      </c>
      <c r="C51" s="71">
        <v>223437</v>
      </c>
      <c r="D51" s="72">
        <v>1</v>
      </c>
      <c r="E51" s="72" t="s">
        <v>146</v>
      </c>
      <c r="F51" s="102">
        <v>25376</v>
      </c>
      <c r="G51" s="74">
        <v>44534</v>
      </c>
      <c r="H51" s="139">
        <f t="shared" si="2"/>
        <v>1.5808219178082192</v>
      </c>
      <c r="I51" s="74">
        <v>44944</v>
      </c>
      <c r="J51" s="68">
        <v>1</v>
      </c>
      <c r="K51" s="75">
        <f t="shared" si="0"/>
        <v>167</v>
      </c>
      <c r="L51" s="85">
        <v>67</v>
      </c>
      <c r="M51" s="76">
        <v>3.1</v>
      </c>
      <c r="N51" s="136">
        <v>45147</v>
      </c>
      <c r="O51" s="137">
        <v>56.37</v>
      </c>
      <c r="P51" s="137">
        <v>2.6</v>
      </c>
      <c r="Q51" s="136" t="s">
        <v>1028</v>
      </c>
      <c r="R51" s="140">
        <v>62.4</v>
      </c>
      <c r="S51" s="76">
        <v>3</v>
      </c>
      <c r="T51" s="76" t="s">
        <v>110</v>
      </c>
      <c r="U51" s="76" t="s">
        <v>99</v>
      </c>
      <c r="V51" s="138">
        <v>16229391173</v>
      </c>
      <c r="W51" s="73">
        <v>1</v>
      </c>
      <c r="X51" s="89"/>
      <c r="Y51" s="90"/>
      <c r="Z51" s="89">
        <v>223.5</v>
      </c>
      <c r="AA51" s="90">
        <v>119</v>
      </c>
      <c r="AB51" s="77">
        <v>2.2000000000000002</v>
      </c>
      <c r="AC51" s="90">
        <f t="shared" si="3"/>
        <v>2200</v>
      </c>
      <c r="AD51" s="128">
        <f t="shared" si="17"/>
        <v>0.54893569657972496</v>
      </c>
      <c r="AE51" s="128">
        <f t="shared" si="4"/>
        <v>0.3543954069829075</v>
      </c>
      <c r="AF51" s="19">
        <v>3</v>
      </c>
      <c r="AG51" s="113">
        <v>45111.357986111114</v>
      </c>
      <c r="AH51" s="113">
        <v>45115.140462962961</v>
      </c>
      <c r="AI51" s="113">
        <v>45115.023969907408</v>
      </c>
      <c r="AJ51" s="113">
        <v>45115.140462962961</v>
      </c>
      <c r="AK51" s="78">
        <f t="shared" si="10"/>
        <v>1.2583333334187046</v>
      </c>
      <c r="AL51" s="78">
        <f t="shared" si="11"/>
        <v>36.258333333418705</v>
      </c>
      <c r="AM51" s="114">
        <f>(AJ51-AI51)*24</f>
        <v>2.7958333332790062</v>
      </c>
      <c r="AN51" s="115">
        <v>2.7958333332790062</v>
      </c>
      <c r="AO51" s="19">
        <v>6</v>
      </c>
      <c r="AP51" s="79">
        <v>45113</v>
      </c>
      <c r="AQ51" s="69">
        <v>45113.625</v>
      </c>
      <c r="AR51" s="80">
        <v>16282721383</v>
      </c>
      <c r="AS51" s="81">
        <f t="shared" si="6"/>
        <v>54.408333333267365</v>
      </c>
      <c r="AT51" s="82">
        <f t="shared" si="13"/>
        <v>64</v>
      </c>
      <c r="AU51" s="73" t="s">
        <v>1027</v>
      </c>
      <c r="AV51" s="73"/>
      <c r="AW51" s="73"/>
      <c r="AX51" s="73">
        <v>1</v>
      </c>
      <c r="AY51" s="79">
        <v>45299</v>
      </c>
      <c r="AZ51" s="79">
        <f t="shared" si="7"/>
        <v>45258</v>
      </c>
      <c r="BA51" s="73" t="s">
        <v>1051</v>
      </c>
      <c r="BB51" s="145">
        <f>AY51-AP51</f>
        <v>186</v>
      </c>
      <c r="BC51" s="147" t="s">
        <v>1049</v>
      </c>
      <c r="BD51" s="73"/>
    </row>
    <row r="52" spans="1:56" s="83" customFormat="1" x14ac:dyDescent="0.3">
      <c r="A52" s="18">
        <v>48</v>
      </c>
      <c r="B52" s="67">
        <v>16286823440</v>
      </c>
      <c r="C52" s="71">
        <v>223440</v>
      </c>
      <c r="D52" s="72">
        <v>1</v>
      </c>
      <c r="E52" s="72" t="s">
        <v>141</v>
      </c>
      <c r="F52" s="102">
        <v>25462</v>
      </c>
      <c r="G52" s="74">
        <v>44534</v>
      </c>
      <c r="H52" s="139">
        <f t="shared" si="2"/>
        <v>1.5808219178082192</v>
      </c>
      <c r="I52" s="74">
        <v>44943</v>
      </c>
      <c r="J52" s="68">
        <v>2</v>
      </c>
      <c r="K52" s="75">
        <f t="shared" si="0"/>
        <v>168</v>
      </c>
      <c r="L52" s="85">
        <v>61.2</v>
      </c>
      <c r="M52" s="76">
        <v>2.7</v>
      </c>
      <c r="N52" s="136">
        <v>45146</v>
      </c>
      <c r="O52" s="137">
        <v>50.21</v>
      </c>
      <c r="P52" s="137">
        <v>2.2999999999999998</v>
      </c>
      <c r="Q52" s="136" t="s">
        <v>1028</v>
      </c>
      <c r="R52" s="140">
        <v>58</v>
      </c>
      <c r="S52" s="76">
        <v>2.7</v>
      </c>
      <c r="T52" s="76" t="s">
        <v>101</v>
      </c>
      <c r="U52" s="76" t="s">
        <v>1023</v>
      </c>
      <c r="V52" s="138">
        <v>28034382314</v>
      </c>
      <c r="W52" s="73">
        <v>1</v>
      </c>
      <c r="X52" s="89"/>
      <c r="Y52" s="90"/>
      <c r="Z52" s="89">
        <v>274.89999999999998</v>
      </c>
      <c r="AA52" s="90">
        <v>120</v>
      </c>
      <c r="AB52" s="77">
        <v>2.0499999999999998</v>
      </c>
      <c r="AC52" s="90">
        <f t="shared" si="3"/>
        <v>2050</v>
      </c>
      <c r="AD52" s="128">
        <f t="shared" si="8"/>
        <v>0.42640146405875118</v>
      </c>
      <c r="AE52" s="128">
        <f t="shared" si="4"/>
        <v>0.29893509983188604</v>
      </c>
      <c r="AF52" s="19"/>
      <c r="AG52" s="113"/>
      <c r="AH52" s="113"/>
      <c r="AI52" s="113"/>
      <c r="AJ52" s="113"/>
      <c r="AK52" s="78"/>
      <c r="AL52" s="78"/>
      <c r="AM52" s="114"/>
      <c r="AN52" s="115"/>
      <c r="AO52" s="19"/>
      <c r="AP52" s="79">
        <v>45113</v>
      </c>
      <c r="AQ52" s="69">
        <v>45113.625</v>
      </c>
      <c r="AR52" s="80">
        <v>16348503344</v>
      </c>
      <c r="AS52" s="81"/>
      <c r="AT52" s="82">
        <f t="shared" si="13"/>
        <v>64</v>
      </c>
      <c r="AU52" s="73" t="s">
        <v>1027</v>
      </c>
      <c r="AV52" s="73"/>
      <c r="AW52" s="73"/>
      <c r="AX52" s="73"/>
      <c r="AY52" s="79"/>
      <c r="AZ52" s="79">
        <f t="shared" si="7"/>
        <v>45258</v>
      </c>
      <c r="BA52" s="73"/>
      <c r="BB52" s="73"/>
      <c r="BC52" s="146" t="s">
        <v>1047</v>
      </c>
      <c r="BD52" s="73"/>
    </row>
    <row r="53" spans="1:56" s="83" customFormat="1" ht="8.4" customHeight="1" x14ac:dyDescent="0.3">
      <c r="A53" s="109"/>
      <c r="B53" s="67"/>
      <c r="C53" s="117"/>
      <c r="D53" s="118"/>
      <c r="E53" s="118"/>
      <c r="F53" s="119"/>
      <c r="G53" s="120"/>
      <c r="H53" s="120"/>
      <c r="I53" s="120"/>
      <c r="J53" s="121"/>
      <c r="K53" s="122"/>
      <c r="L53" s="122"/>
      <c r="M53" s="123"/>
      <c r="N53" s="123"/>
      <c r="O53" s="123"/>
      <c r="P53" s="123"/>
      <c r="Q53" s="123"/>
      <c r="R53" s="123"/>
      <c r="S53" s="123"/>
      <c r="T53" s="123"/>
      <c r="U53" s="123"/>
      <c r="V53" s="124"/>
      <c r="W53" s="125"/>
      <c r="X53" s="126"/>
      <c r="Y53" s="127"/>
      <c r="Z53" s="126"/>
      <c r="AA53" s="127"/>
      <c r="AB53" s="128"/>
      <c r="AC53" s="128"/>
      <c r="AD53" s="128"/>
      <c r="AE53" s="128"/>
      <c r="AF53" s="19"/>
      <c r="AG53" s="113"/>
      <c r="AH53" s="113"/>
      <c r="AI53" s="113"/>
      <c r="AJ53" s="113"/>
      <c r="AK53" s="129"/>
      <c r="AL53" s="129"/>
      <c r="AM53" s="114"/>
      <c r="AN53" s="115"/>
      <c r="AO53" s="19"/>
      <c r="AP53" s="130"/>
      <c r="AQ53" s="131"/>
      <c r="AR53" s="132"/>
      <c r="AS53" s="129"/>
      <c r="AT53" s="128"/>
      <c r="AW53" s="125"/>
      <c r="AX53" s="125"/>
      <c r="AY53" s="125"/>
      <c r="AZ53" s="125"/>
      <c r="BA53" s="125"/>
      <c r="BB53" s="125"/>
      <c r="BC53" s="125"/>
      <c r="BD53" s="125"/>
    </row>
    <row r="54" spans="1:56" x14ac:dyDescent="0.3">
      <c r="AG54" s="113"/>
      <c r="AH54" s="113"/>
      <c r="AI54" s="113"/>
      <c r="AJ54" s="113"/>
      <c r="AK54" s="129"/>
      <c r="AL54" s="129"/>
      <c r="AM54" s="114"/>
      <c r="AN54" s="115"/>
      <c r="AO54" s="19"/>
    </row>
    <row r="55" spans="1:56" x14ac:dyDescent="0.3">
      <c r="F55" s="79"/>
      <c r="G55" s="91">
        <f>SUBTOTAL(1,G5:G52)</f>
        <v>44050.895833333336</v>
      </c>
      <c r="H55" s="91"/>
      <c r="I55" s="91">
        <f>SUBTOTAL(1,I5:I52)</f>
        <v>44912.645833333336</v>
      </c>
      <c r="J55" s="14">
        <f>SUBTOTAL(1,J5:J52)</f>
        <v>1.625</v>
      </c>
      <c r="K55" s="14">
        <f>SUBTOTAL(1,K5:K52)</f>
        <v>198.35416666666666</v>
      </c>
      <c r="L55" s="14">
        <f>SUBTOTAL(1,L5:L52)</f>
        <v>67.497916666666626</v>
      </c>
      <c r="M55" s="14">
        <f>SUBTOTAL(1,M5:M52)</f>
        <v>2.9270833333333326</v>
      </c>
      <c r="N55" s="14"/>
      <c r="O55" s="14">
        <f>SUBTOTAL(1,O5:O52)</f>
        <v>60.462916666666651</v>
      </c>
      <c r="P55" s="14">
        <f>SUBTOTAL(1,P5:P52)</f>
        <v>2.7020833333333343</v>
      </c>
      <c r="Q55" s="14"/>
      <c r="R55" s="14">
        <f>SUBTOTAL(1,R5:R52)</f>
        <v>64.333333333333357</v>
      </c>
      <c r="S55" s="14">
        <f>SUBTOTAL(1,S5:S52)</f>
        <v>2.8541666666666661</v>
      </c>
      <c r="T55" s="14"/>
      <c r="U55" s="14"/>
      <c r="V55" s="14"/>
      <c r="W55" s="14">
        <f t="shared" ref="W55:AC55" si="18">SUBTOTAL(1,W5:W52)</f>
        <v>2.3125</v>
      </c>
      <c r="X55" s="14">
        <f t="shared" si="18"/>
        <v>330.40645161290325</v>
      </c>
      <c r="Y55" s="14">
        <f t="shared" si="18"/>
        <v>174.06451612903226</v>
      </c>
      <c r="Z55" s="14">
        <f t="shared" si="18"/>
        <v>296.17916666666667</v>
      </c>
      <c r="AA55" s="14">
        <f t="shared" si="18"/>
        <v>150.35416666666666</v>
      </c>
      <c r="AB55" s="14">
        <f t="shared" si="18"/>
        <v>1.6443749999999999</v>
      </c>
      <c r="AC55" s="14">
        <f t="shared" si="18"/>
        <v>1644.375</v>
      </c>
      <c r="AD55" s="14"/>
      <c r="AE55" s="14">
        <f>SUBTOTAL(1,AE5:AE52)</f>
        <v>0.65892556299486515</v>
      </c>
      <c r="AP55" s="19"/>
      <c r="AT55" s="19"/>
      <c r="AV55" s="14">
        <f>SUBTOTAL(1,AV5:AV52)</f>
        <v>1.5121951219512195</v>
      </c>
      <c r="AX55" s="14">
        <f>SUBTOTAL(1,AX5:AX52)</f>
        <v>1.5365853658536586</v>
      </c>
    </row>
    <row r="56" spans="1:56" ht="14.4" customHeight="1" x14ac:dyDescent="0.35">
      <c r="F56" s="14"/>
      <c r="G56" s="14">
        <f>SUBTOTAL(7,G5:G52)</f>
        <v>467.39478231518694</v>
      </c>
      <c r="H56" s="14"/>
      <c r="I56" s="14">
        <f>SUBTOTAL(7,I5:I52)</f>
        <v>23.175087122178581</v>
      </c>
      <c r="J56" s="14">
        <f>SUBTOTAL(7,J5:J52)</f>
        <v>0.63998005288063975</v>
      </c>
      <c r="K56" s="14">
        <f>SUBTOTAL(7,K5:K52)</f>
        <v>23.175087122178613</v>
      </c>
      <c r="L56" s="14">
        <f>SUBTOTAL(7,L5:L52)</f>
        <v>8.6707012056216168</v>
      </c>
      <c r="M56" s="14">
        <f>SUBTOTAL(7,M5:M52)</f>
        <v>0.27655908786010658</v>
      </c>
      <c r="N56" s="14"/>
      <c r="O56" s="14">
        <f>SUBTOTAL(7,O5:O52)</f>
        <v>10.808931877541646</v>
      </c>
      <c r="P56" s="14">
        <f>SUBTOTAL(7,P5:P52)</f>
        <v>0.2669684684013589</v>
      </c>
      <c r="Q56" s="14"/>
      <c r="R56" s="14">
        <f>SUBTOTAL(7,R5:R52)</f>
        <v>9.7305907920905437</v>
      </c>
      <c r="S56" s="14">
        <f>SUBTOTAL(7,S5:S52)</f>
        <v>0.23059436000311928</v>
      </c>
      <c r="T56" s="14"/>
      <c r="U56" s="14"/>
      <c r="V56" s="14"/>
      <c r="W56" s="14">
        <f t="shared" ref="W56:AC56" si="19">SUBTOTAL(7,W5:W52)</f>
        <v>1.2742331861813823</v>
      </c>
      <c r="X56" s="14">
        <f t="shared" si="19"/>
        <v>80.17437219579098</v>
      </c>
      <c r="Y56" s="14">
        <f t="shared" si="19"/>
        <v>26.570579574498019</v>
      </c>
      <c r="Z56" s="14">
        <f t="shared" si="19"/>
        <v>79.425117840464083</v>
      </c>
      <c r="AA56" s="14">
        <f t="shared" si="19"/>
        <v>23.175087122178613</v>
      </c>
      <c r="AB56" s="14">
        <f t="shared" si="19"/>
        <v>0.29647508057888416</v>
      </c>
      <c r="AC56" s="14">
        <f t="shared" si="19"/>
        <v>296.47508057888325</v>
      </c>
      <c r="AD56" s="14"/>
      <c r="AE56" s="14">
        <f>SUBTOTAL(7,AE5:AE52)</f>
        <v>0.2773934867938585</v>
      </c>
      <c r="AG56" s="27" t="s">
        <v>84</v>
      </c>
      <c r="AH56" s="27"/>
      <c r="AI56" s="27"/>
      <c r="AJ56" s="27"/>
      <c r="AK56" s="27"/>
      <c r="AL56" s="19"/>
      <c r="AM56" s="27"/>
      <c r="AN56" s="19"/>
      <c r="AO56" s="19"/>
      <c r="AP56" s="19"/>
      <c r="AT56" s="19"/>
      <c r="AV56" s="14">
        <f>SUBTOTAL(7,AV5:AV52)</f>
        <v>0.55326084352284499</v>
      </c>
      <c r="AW56" s="19"/>
      <c r="AX56" s="14">
        <f>SUBTOTAL(7,AX5:AX52)</f>
        <v>0.67444647584555417</v>
      </c>
      <c r="AY56" s="19"/>
    </row>
    <row r="57" spans="1:56" x14ac:dyDescent="0.3">
      <c r="F57" s="14"/>
      <c r="G57" s="14">
        <f>SUBTOTAL(3,G5:G52)</f>
        <v>48</v>
      </c>
      <c r="H57" s="14"/>
      <c r="I57" s="14">
        <f>SUBTOTAL(3,I5:I52)</f>
        <v>48</v>
      </c>
      <c r="J57" s="14">
        <f>SUBTOTAL(3,J5:J52)</f>
        <v>48</v>
      </c>
      <c r="K57" s="14">
        <f>SUBTOTAL(3,K5:K52)</f>
        <v>48</v>
      </c>
      <c r="L57" s="14">
        <f>SUBTOTAL(3,L5:L52)</f>
        <v>48</v>
      </c>
      <c r="M57" s="14">
        <f>SUBTOTAL(3,M5:M52)</f>
        <v>48</v>
      </c>
      <c r="N57" s="14"/>
      <c r="O57" s="14">
        <f>SUBTOTAL(3,O5:O52)</f>
        <v>48</v>
      </c>
      <c r="P57" s="14">
        <f>SUBTOTAL(3,P5:P52)</f>
        <v>48</v>
      </c>
      <c r="Q57" s="14"/>
      <c r="R57" s="14">
        <f>SUBTOTAL(3,R5:R52)</f>
        <v>48</v>
      </c>
      <c r="S57" s="14">
        <f>SUBTOTAL(3,S5:S52)</f>
        <v>48</v>
      </c>
      <c r="T57" s="14"/>
      <c r="U57" s="14"/>
      <c r="V57" s="14"/>
      <c r="W57" s="14">
        <f t="shared" ref="W57:AC57" si="20">SUBTOTAL(3,W5:W52)</f>
        <v>48</v>
      </c>
      <c r="X57" s="14">
        <f t="shared" si="20"/>
        <v>31</v>
      </c>
      <c r="Y57" s="14">
        <f t="shared" si="20"/>
        <v>31</v>
      </c>
      <c r="Z57" s="14">
        <f t="shared" si="20"/>
        <v>48</v>
      </c>
      <c r="AA57" s="14">
        <f t="shared" si="20"/>
        <v>48</v>
      </c>
      <c r="AB57" s="14">
        <f t="shared" si="20"/>
        <v>48</v>
      </c>
      <c r="AC57" s="14">
        <f t="shared" si="20"/>
        <v>48</v>
      </c>
      <c r="AD57" s="14"/>
      <c r="AE57" s="14">
        <f>SUBTOTAL(3,AE5:AE52)</f>
        <v>48</v>
      </c>
      <c r="AG57" s="28" t="s">
        <v>1012</v>
      </c>
      <c r="AH57" s="26"/>
      <c r="AI57" s="26"/>
      <c r="AJ57" s="26"/>
      <c r="AK57" s="26"/>
      <c r="AL57" s="26"/>
      <c r="AM57" s="28"/>
      <c r="AN57" s="26"/>
      <c r="AO57" s="19"/>
      <c r="AP57" s="19"/>
      <c r="AT57" s="19"/>
      <c r="AV57" s="14">
        <f>SUBTOTAL(3,AV5:AV52)</f>
        <v>41</v>
      </c>
      <c r="AW57" s="19"/>
      <c r="AX57" s="14">
        <f>SUBTOTAL(3,AX5:AX52)</f>
        <v>41</v>
      </c>
      <c r="AY57" s="19"/>
    </row>
    <row r="58" spans="1:56" x14ac:dyDescent="0.3">
      <c r="K58" s="14"/>
      <c r="L58" s="14"/>
      <c r="M58" s="14"/>
      <c r="N58" s="14"/>
      <c r="O58" s="14"/>
      <c r="P58" s="15"/>
      <c r="Q58" s="14"/>
      <c r="R58" s="15"/>
      <c r="S58" s="15"/>
      <c r="T58" s="15"/>
      <c r="U58" s="15"/>
      <c r="V58" s="15"/>
      <c r="AG58" s="19" t="s">
        <v>1015</v>
      </c>
      <c r="AH58" s="19"/>
      <c r="AI58" s="19"/>
      <c r="AJ58" s="19"/>
      <c r="AK58" s="19"/>
      <c r="AL58" s="19"/>
      <c r="AM58" s="19"/>
      <c r="AN58" s="19"/>
      <c r="AO58" s="19"/>
      <c r="AP58" s="19"/>
      <c r="AT58" s="19"/>
      <c r="AV58" s="19"/>
      <c r="AW58" s="19"/>
      <c r="AX58" s="19"/>
      <c r="AY58" s="19"/>
    </row>
    <row r="59" spans="1:56" ht="15" thickBot="1" x14ac:dyDescent="0.35">
      <c r="AG59" s="19" t="s">
        <v>1013</v>
      </c>
      <c r="AH59" s="19" t="s">
        <v>1014</v>
      </c>
      <c r="AI59" s="19"/>
      <c r="AJ59" s="19"/>
      <c r="AK59" s="19"/>
      <c r="AL59" s="19"/>
      <c r="AM59" s="19"/>
      <c r="AN59" s="19"/>
      <c r="AO59" s="19"/>
      <c r="AP59" s="19"/>
      <c r="AT59" s="19"/>
      <c r="AU59" t="s">
        <v>34</v>
      </c>
      <c r="AV59" s="19"/>
      <c r="AW59" s="19"/>
      <c r="AX59" s="19"/>
      <c r="AY59" s="19"/>
    </row>
    <row r="60" spans="1:56" ht="31.2" thickBot="1" x14ac:dyDescent="0.4">
      <c r="G60" s="1" t="s">
        <v>23</v>
      </c>
      <c r="H60" s="1" t="s">
        <v>1041</v>
      </c>
      <c r="I60" s="1" t="s">
        <v>24</v>
      </c>
      <c r="J60" s="66" t="s">
        <v>78</v>
      </c>
      <c r="K60" s="1" t="s">
        <v>55</v>
      </c>
      <c r="L60" s="1" t="s">
        <v>151</v>
      </c>
      <c r="M60" s="1" t="s">
        <v>56</v>
      </c>
      <c r="N60" s="66" t="s">
        <v>1022</v>
      </c>
      <c r="O60" s="66" t="s">
        <v>152</v>
      </c>
      <c r="P60" s="66" t="s">
        <v>57</v>
      </c>
      <c r="Q60" s="66" t="s">
        <v>1030</v>
      </c>
      <c r="R60" s="1" t="s">
        <v>153</v>
      </c>
      <c r="S60" s="1" t="s">
        <v>79</v>
      </c>
      <c r="T60" s="1" t="s">
        <v>99</v>
      </c>
      <c r="U60" s="1" t="s">
        <v>1043</v>
      </c>
      <c r="V60" s="1" t="s">
        <v>100</v>
      </c>
      <c r="W60" s="1" t="s">
        <v>160</v>
      </c>
      <c r="X60" s="1" t="s">
        <v>156</v>
      </c>
      <c r="Y60" s="1" t="s">
        <v>157</v>
      </c>
      <c r="Z60" s="1" t="s">
        <v>158</v>
      </c>
      <c r="AA60" s="1" t="s">
        <v>161</v>
      </c>
      <c r="AB60" s="1" t="s">
        <v>162</v>
      </c>
      <c r="AC60" s="1" t="s">
        <v>1042</v>
      </c>
      <c r="AD60" s="1"/>
      <c r="AE60" s="1" t="s">
        <v>1040</v>
      </c>
      <c r="AG60" s="19" t="s">
        <v>1016</v>
      </c>
      <c r="AH60" s="19"/>
      <c r="AI60" s="19"/>
      <c r="AJ60" s="19"/>
      <c r="AK60" s="19"/>
      <c r="AL60" s="19"/>
      <c r="AM60" s="19"/>
      <c r="AN60" s="19"/>
      <c r="AO60" s="19"/>
      <c r="AP60" s="19"/>
      <c r="AT60" s="19"/>
      <c r="AU60" s="27" t="s">
        <v>1031</v>
      </c>
      <c r="AV60" s="19"/>
      <c r="AW60" s="19"/>
      <c r="AX60" s="19"/>
      <c r="AY60" s="19"/>
    </row>
    <row r="61" spans="1:56" ht="18" customHeight="1" x14ac:dyDescent="0.3">
      <c r="F61" s="19" t="s">
        <v>49</v>
      </c>
      <c r="G61" s="143">
        <v>44050.895833333336</v>
      </c>
      <c r="H61" s="143"/>
      <c r="I61" s="143">
        <v>44912.645833333336</v>
      </c>
      <c r="J61" s="135">
        <v>1.625</v>
      </c>
      <c r="K61" s="135">
        <v>198.35416666666666</v>
      </c>
      <c r="L61" s="135">
        <v>67.497916666666626</v>
      </c>
      <c r="M61" s="135">
        <v>2.9270833333333326</v>
      </c>
      <c r="N61" s="135"/>
      <c r="O61" s="135">
        <v>60.462916666666651</v>
      </c>
      <c r="P61" s="135">
        <v>2.7020833333333343</v>
      </c>
      <c r="Q61" s="135"/>
      <c r="R61" s="135">
        <v>64.333333333333357</v>
      </c>
      <c r="S61" s="135">
        <v>2.8541666666666661</v>
      </c>
      <c r="T61" s="135"/>
      <c r="U61" s="135"/>
      <c r="V61" s="135"/>
      <c r="W61" s="135">
        <v>2.3125</v>
      </c>
      <c r="X61" s="135">
        <v>330.40645161290325</v>
      </c>
      <c r="Y61" s="135">
        <v>174.06451612903226</v>
      </c>
      <c r="Z61" s="135">
        <v>296.17916666666667</v>
      </c>
      <c r="AA61" s="135">
        <v>150.35416666666666</v>
      </c>
      <c r="AB61" s="135">
        <v>1.6443749999999999</v>
      </c>
      <c r="AC61" s="135"/>
      <c r="AD61" s="135"/>
      <c r="AE61" s="135">
        <v>0.65892556299486515</v>
      </c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T61" s="19"/>
      <c r="AU61" s="19" t="s">
        <v>1032</v>
      </c>
      <c r="AV61" s="19"/>
      <c r="AW61" s="19"/>
      <c r="AX61" s="19"/>
      <c r="AY61" s="19"/>
    </row>
    <row r="62" spans="1:56" ht="18" customHeight="1" x14ac:dyDescent="0.35">
      <c r="F62" s="19"/>
      <c r="G62" s="20">
        <v>467.39478231518694</v>
      </c>
      <c r="H62" s="20"/>
      <c r="I62" s="20">
        <v>23.175087122178581</v>
      </c>
      <c r="J62" s="135">
        <v>0.63998005288063975</v>
      </c>
      <c r="K62" s="135">
        <v>23.175087122178613</v>
      </c>
      <c r="L62" s="135">
        <v>8.6707012056216168</v>
      </c>
      <c r="M62" s="135">
        <v>0.27655908786010658</v>
      </c>
      <c r="N62" s="135"/>
      <c r="O62" s="135">
        <v>10.808931877541646</v>
      </c>
      <c r="P62" s="135">
        <v>0.2669684684013589</v>
      </c>
      <c r="Q62" s="135"/>
      <c r="R62" s="135">
        <v>9.7305907920905437</v>
      </c>
      <c r="S62" s="135">
        <v>0.23059436000311928</v>
      </c>
      <c r="T62" s="135"/>
      <c r="U62" s="135"/>
      <c r="V62" s="135"/>
      <c r="W62" s="135">
        <v>1.2742331861813823</v>
      </c>
      <c r="X62" s="135">
        <v>80.17437219579098</v>
      </c>
      <c r="Y62" s="135">
        <v>26.570579574498019</v>
      </c>
      <c r="Z62" s="135">
        <v>79.425117840464083</v>
      </c>
      <c r="AA62" s="135">
        <v>23.175087122178613</v>
      </c>
      <c r="AB62" s="135">
        <v>0.29647508057888416</v>
      </c>
      <c r="AC62" s="135"/>
      <c r="AD62" s="135"/>
      <c r="AE62" s="135">
        <v>0.2773934867938585</v>
      </c>
      <c r="AG62" s="27" t="s">
        <v>85</v>
      </c>
      <c r="AH62" s="19"/>
      <c r="AI62" s="19"/>
      <c r="AJ62" s="19"/>
      <c r="AK62" s="19"/>
      <c r="AL62" s="19"/>
      <c r="AM62" s="19"/>
      <c r="AN62" s="19"/>
      <c r="AO62" s="19"/>
      <c r="AP62" s="19"/>
      <c r="AT62" s="19"/>
      <c r="AU62" s="19" t="s">
        <v>1034</v>
      </c>
      <c r="AV62" s="19"/>
      <c r="AW62" s="19"/>
      <c r="AX62" s="19"/>
    </row>
    <row r="63" spans="1:56" x14ac:dyDescent="0.3">
      <c r="F63" s="19"/>
      <c r="G63" s="134">
        <v>48</v>
      </c>
      <c r="H63" s="134"/>
      <c r="I63" s="134">
        <v>48</v>
      </c>
      <c r="J63" s="134">
        <v>48</v>
      </c>
      <c r="K63" s="135">
        <v>48</v>
      </c>
      <c r="L63" s="135">
        <v>48</v>
      </c>
      <c r="M63" s="135">
        <v>48</v>
      </c>
      <c r="N63" s="135"/>
      <c r="O63" s="135">
        <v>48</v>
      </c>
      <c r="P63" s="135">
        <v>48</v>
      </c>
      <c r="Q63" s="135"/>
      <c r="R63" s="135">
        <v>48</v>
      </c>
      <c r="S63" s="135">
        <v>48</v>
      </c>
      <c r="T63" s="135"/>
      <c r="U63" s="135"/>
      <c r="V63" s="135"/>
      <c r="W63" s="135">
        <v>48</v>
      </c>
      <c r="X63" s="135">
        <v>31</v>
      </c>
      <c r="Y63" s="135">
        <v>31</v>
      </c>
      <c r="Z63" s="135">
        <v>48</v>
      </c>
      <c r="AA63" s="135">
        <v>48</v>
      </c>
      <c r="AB63" s="135">
        <v>48</v>
      </c>
      <c r="AC63" s="135"/>
      <c r="AD63" s="135"/>
      <c r="AE63" s="135">
        <v>48</v>
      </c>
      <c r="AG63" s="28" t="s">
        <v>1017</v>
      </c>
      <c r="AH63" s="19"/>
      <c r="AI63" s="19"/>
      <c r="AJ63" s="19"/>
      <c r="AK63" s="19"/>
      <c r="AL63" s="19"/>
      <c r="AM63" s="19"/>
      <c r="AN63" s="19"/>
      <c r="AO63" s="19"/>
      <c r="AP63" s="19"/>
      <c r="AT63" s="19"/>
      <c r="AU63" s="19" t="s">
        <v>1035</v>
      </c>
      <c r="AV63" s="19"/>
      <c r="AW63" s="19"/>
      <c r="AX63" s="19"/>
    </row>
    <row r="64" spans="1:56" x14ac:dyDescent="0.3">
      <c r="F64" s="19"/>
      <c r="G64" s="135">
        <f t="shared" ref="G64:O64" si="21">G62/(SQRT(G63))</f>
        <v>67.462625846874928</v>
      </c>
      <c r="H64" s="135"/>
      <c r="I64" s="135">
        <f t="shared" si="21"/>
        <v>3.3450356971207085</v>
      </c>
      <c r="J64" s="135">
        <f t="shared" si="21"/>
        <v>9.2373163951657081E-2</v>
      </c>
      <c r="K64" s="135">
        <f t="shared" si="21"/>
        <v>3.3450356971207134</v>
      </c>
      <c r="L64" s="135">
        <f t="shared" si="21"/>
        <v>1.2515079187821134</v>
      </c>
      <c r="M64" s="135">
        <f t="shared" si="21"/>
        <v>3.9917865955717474E-2</v>
      </c>
      <c r="N64" s="135"/>
      <c r="O64" s="135">
        <f t="shared" si="21"/>
        <v>1.5601349322877491</v>
      </c>
      <c r="P64" s="135">
        <f t="shared" ref="P64:S64" si="22">P62/(SQRT(P63))</f>
        <v>3.8533579274166667E-2</v>
      </c>
      <c r="Q64" s="135"/>
      <c r="R64" s="135">
        <f t="shared" ref="R64" si="23">R62/(SQRT(R63))</f>
        <v>1.4044898032968924</v>
      </c>
      <c r="S64" s="135">
        <f t="shared" si="22"/>
        <v>3.3283428955352599E-2</v>
      </c>
      <c r="T64" s="135"/>
      <c r="U64" s="135"/>
      <c r="V64" s="135"/>
      <c r="W64" s="135">
        <f t="shared" ref="W64:X64" si="24">W62/(SQRT(W63))</f>
        <v>0.1839197182630439</v>
      </c>
      <c r="X64" s="135">
        <f t="shared" si="24"/>
        <v>14.399742333032105</v>
      </c>
      <c r="Y64" s="135">
        <f>Y62/(SQRT(Y63))</f>
        <v>4.7722169695041732</v>
      </c>
      <c r="Z64" s="135">
        <f t="shared" ref="Z64:AE64" si="25">Z62/(SQRT(Z63))</f>
        <v>11.464028291402423</v>
      </c>
      <c r="AA64" s="135">
        <f t="shared" si="25"/>
        <v>3.3450356971207134</v>
      </c>
      <c r="AB64" s="135">
        <f t="shared" ref="AB64" si="26">AB62/(SQRT(AB63))</f>
        <v>4.2792491895058696E-2</v>
      </c>
      <c r="AC64" s="135"/>
      <c r="AD64" s="135"/>
      <c r="AE64" s="135">
        <f t="shared" si="25"/>
        <v>4.003830106797078E-2</v>
      </c>
      <c r="AG64" s="19" t="s">
        <v>1018</v>
      </c>
      <c r="AH64" s="19"/>
      <c r="AI64" s="19"/>
      <c r="AJ64" s="19"/>
      <c r="AK64" s="19"/>
      <c r="AL64" s="19"/>
      <c r="AM64" s="19"/>
      <c r="AN64" s="19"/>
      <c r="AO64" s="19"/>
      <c r="AP64" s="19"/>
      <c r="AT64" s="19"/>
      <c r="AU64" s="19" t="s">
        <v>1037</v>
      </c>
    </row>
    <row r="65" spans="6:54" x14ac:dyDescent="0.3">
      <c r="F65" s="19"/>
      <c r="G65" s="134"/>
      <c r="H65" s="134"/>
      <c r="I65" s="134"/>
      <c r="J65" s="134"/>
      <c r="K65" s="134"/>
      <c r="L65" s="134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4"/>
      <c r="X65" s="134"/>
      <c r="Y65" s="134"/>
      <c r="Z65" s="135"/>
      <c r="AA65" s="135"/>
      <c r="AB65" s="135"/>
      <c r="AC65" s="135"/>
      <c r="AD65" s="135"/>
      <c r="AE65" s="135"/>
      <c r="AG65" s="19" t="s">
        <v>1013</v>
      </c>
      <c r="AH65" s="19" t="s">
        <v>1019</v>
      </c>
      <c r="AI65" s="19"/>
      <c r="AJ65" s="19"/>
      <c r="AK65" s="19"/>
      <c r="AL65" s="19"/>
      <c r="AM65" s="19"/>
      <c r="AN65" s="19"/>
      <c r="AO65" s="19"/>
      <c r="AU65" s="19" t="s">
        <v>1036</v>
      </c>
    </row>
    <row r="66" spans="6:54" x14ac:dyDescent="0.3">
      <c r="F66" s="19" t="s">
        <v>50</v>
      </c>
      <c r="G66" s="143">
        <v>43943.515151515152</v>
      </c>
      <c r="H66" s="143"/>
      <c r="I66" s="143">
        <v>44907.272727272728</v>
      </c>
      <c r="J66" s="135">
        <v>1.696969696969697</v>
      </c>
      <c r="K66" s="135">
        <v>203.72727272727272</v>
      </c>
      <c r="L66" s="135">
        <v>68.48787878787877</v>
      </c>
      <c r="M66" s="135">
        <v>2.9363636363636365</v>
      </c>
      <c r="N66" s="135"/>
      <c r="O66" s="135">
        <v>61.50121212121212</v>
      </c>
      <c r="P66" s="135">
        <v>2.6878787878787884</v>
      </c>
      <c r="Q66" s="135"/>
      <c r="R66" s="135">
        <v>65.606060606060623</v>
      </c>
      <c r="S66" s="135">
        <v>2.8484848484848486</v>
      </c>
      <c r="T66" s="135"/>
      <c r="U66" s="135"/>
      <c r="V66" s="135"/>
      <c r="W66" s="135">
        <v>2.606060606060606</v>
      </c>
      <c r="X66" s="135">
        <v>337.02800000000002</v>
      </c>
      <c r="Y66" s="135">
        <v>176.16</v>
      </c>
      <c r="Z66" s="135">
        <v>312.5030303030303</v>
      </c>
      <c r="AA66" s="135">
        <v>155.72727272727272</v>
      </c>
      <c r="AB66" s="135">
        <v>1.6093939393939389</v>
      </c>
      <c r="AC66" s="135"/>
      <c r="AD66" s="135"/>
      <c r="AE66" s="135">
        <v>0.81368417124482695</v>
      </c>
      <c r="AG66" s="19" t="s">
        <v>1020</v>
      </c>
      <c r="AH66" s="19"/>
      <c r="AI66" s="19"/>
      <c r="AJ66" s="19"/>
      <c r="AK66" s="19"/>
      <c r="AL66" s="19"/>
      <c r="AM66" s="19"/>
      <c r="AN66" s="19"/>
      <c r="AU66" s="19" t="s">
        <v>1033</v>
      </c>
    </row>
    <row r="67" spans="6:54" ht="13.2" customHeight="1" x14ac:dyDescent="0.3">
      <c r="F67" s="19"/>
      <c r="G67" s="20">
        <v>476.0438609789623</v>
      </c>
      <c r="H67" s="20"/>
      <c r="I67" s="20">
        <v>20.964661825427701</v>
      </c>
      <c r="J67" s="135">
        <v>0.63663414164104515</v>
      </c>
      <c r="K67" s="135">
        <v>20.964661825427669</v>
      </c>
      <c r="L67" s="135">
        <v>9.1242724907168142</v>
      </c>
      <c r="M67" s="135">
        <v>0.27705841195741315</v>
      </c>
      <c r="N67" s="135"/>
      <c r="O67" s="135">
        <v>10.698083577671742</v>
      </c>
      <c r="P67" s="135">
        <v>0.25951586627504081</v>
      </c>
      <c r="Q67" s="135"/>
      <c r="R67" s="135">
        <v>9.7284357489377022</v>
      </c>
      <c r="S67" s="135">
        <v>0.21668123494146324</v>
      </c>
      <c r="T67" s="135"/>
      <c r="U67" s="135"/>
      <c r="V67" s="135"/>
      <c r="W67" s="135">
        <v>1.2975793313752038</v>
      </c>
      <c r="X67" s="135">
        <v>81.156661874836971</v>
      </c>
      <c r="Y67" s="135">
        <v>25.370061095708845</v>
      </c>
      <c r="Z67" s="135">
        <v>78.252050631470794</v>
      </c>
      <c r="AA67" s="135">
        <v>20.964661825427669</v>
      </c>
      <c r="AB67" s="135">
        <v>0.29398064768301257</v>
      </c>
      <c r="AC67" s="135"/>
      <c r="AD67" s="135"/>
      <c r="AE67" s="135">
        <v>0.15709096051147509</v>
      </c>
      <c r="AG67" s="19"/>
      <c r="AH67" s="19"/>
      <c r="AI67" s="19"/>
      <c r="AJ67" s="19"/>
      <c r="AK67" s="19"/>
      <c r="AL67" s="19"/>
      <c r="AM67" s="19"/>
      <c r="AN67" s="19"/>
      <c r="AU67" s="150" t="s">
        <v>1038</v>
      </c>
      <c r="AV67" s="150"/>
      <c r="AW67" s="150"/>
      <c r="AX67" s="150"/>
      <c r="AY67" s="150"/>
      <c r="AZ67" s="150"/>
      <c r="BA67" s="150"/>
      <c r="BB67" s="150"/>
    </row>
    <row r="68" spans="6:54" ht="17.399999999999999" customHeight="1" x14ac:dyDescent="0.3">
      <c r="F68" s="19"/>
      <c r="G68" s="134">
        <v>33</v>
      </c>
      <c r="H68" s="134"/>
      <c r="I68" s="134">
        <v>33</v>
      </c>
      <c r="J68" s="134">
        <v>33</v>
      </c>
      <c r="K68" s="135">
        <v>33</v>
      </c>
      <c r="L68" s="135">
        <v>33</v>
      </c>
      <c r="M68" s="135">
        <v>33</v>
      </c>
      <c r="N68" s="135"/>
      <c r="O68" s="135">
        <v>33</v>
      </c>
      <c r="P68" s="135">
        <v>33</v>
      </c>
      <c r="Q68" s="135"/>
      <c r="R68" s="135">
        <v>33</v>
      </c>
      <c r="S68" s="135">
        <v>33</v>
      </c>
      <c r="T68" s="135"/>
      <c r="U68" s="135"/>
      <c r="V68" s="135"/>
      <c r="W68" s="135">
        <v>33</v>
      </c>
      <c r="X68" s="135">
        <v>25</v>
      </c>
      <c r="Y68" s="135">
        <v>25</v>
      </c>
      <c r="Z68" s="135">
        <v>33</v>
      </c>
      <c r="AA68" s="135">
        <v>33</v>
      </c>
      <c r="AB68" s="135">
        <v>33</v>
      </c>
      <c r="AC68" s="135"/>
      <c r="AD68" s="135"/>
      <c r="AE68" s="135">
        <v>17</v>
      </c>
      <c r="AG68" s="19"/>
      <c r="AH68" s="19"/>
      <c r="AI68" s="19"/>
      <c r="AJ68" s="19"/>
      <c r="AK68" s="19"/>
      <c r="AL68" s="19"/>
      <c r="AM68" s="19"/>
      <c r="AN68" s="19"/>
      <c r="AU68" s="150"/>
      <c r="AV68" s="150"/>
      <c r="AW68" s="150"/>
      <c r="AX68" s="150"/>
      <c r="AY68" s="150"/>
      <c r="AZ68" s="150"/>
      <c r="BA68" s="150"/>
      <c r="BB68" s="150"/>
    </row>
    <row r="69" spans="6:54" ht="17.399999999999999" customHeight="1" x14ac:dyDescent="0.3">
      <c r="F69" s="19"/>
      <c r="G69" s="135">
        <f t="shared" ref="G69:S69" si="27">G67/(SQRT(G68))</f>
        <v>82.868599451317849</v>
      </c>
      <c r="H69" s="135"/>
      <c r="I69" s="135">
        <f t="shared" si="27"/>
        <v>3.6494791884743556</v>
      </c>
      <c r="J69" s="135">
        <f t="shared" si="27"/>
        <v>0.11082377907824087</v>
      </c>
      <c r="K69" s="135">
        <f t="shared" si="27"/>
        <v>3.6494791884743498</v>
      </c>
      <c r="L69" s="135">
        <f t="shared" si="27"/>
        <v>1.5883319674850398</v>
      </c>
      <c r="M69" s="135">
        <f t="shared" si="27"/>
        <v>4.8229678916354567E-2</v>
      </c>
      <c r="N69" s="135"/>
      <c r="O69" s="135">
        <f t="shared" si="27"/>
        <v>1.8622973124192426</v>
      </c>
      <c r="P69" s="135">
        <f t="shared" si="27"/>
        <v>4.5175913684471443E-2</v>
      </c>
      <c r="Q69" s="135"/>
      <c r="R69" s="135">
        <f t="shared" ref="R69" si="28">R67/(SQRT(R68))</f>
        <v>1.6935032912906889</v>
      </c>
      <c r="S69" s="135">
        <f t="shared" si="27"/>
        <v>3.7719361468195774E-2</v>
      </c>
      <c r="T69" s="135"/>
      <c r="U69" s="135"/>
      <c r="V69" s="135"/>
      <c r="W69" s="135">
        <f t="shared" ref="W69:X69" si="29">W67/(SQRT(W68))</f>
        <v>0.22587956842235715</v>
      </c>
      <c r="X69" s="135">
        <f t="shared" si="29"/>
        <v>16.231332374967394</v>
      </c>
      <c r="Y69" s="135">
        <f>Y67/(SQRT(Y68))</f>
        <v>5.0740122191417694</v>
      </c>
      <c r="Z69" s="135">
        <f t="shared" ref="Z69:AA69" si="30">Z67/(SQRT(Z68))</f>
        <v>13.62193354765302</v>
      </c>
      <c r="AA69" s="135">
        <f t="shared" si="30"/>
        <v>3.6494791884743498</v>
      </c>
      <c r="AB69" s="135">
        <f t="shared" ref="AB69" si="31">AB67/(SQRT(AB68))</f>
        <v>5.1175462044996685E-2</v>
      </c>
      <c r="AC69" s="135"/>
      <c r="AD69" s="135"/>
      <c r="AE69" s="135">
        <f t="shared" ref="AE69" si="32">AE67/(SQRT(AE68))</f>
        <v>3.8100154295208515E-2</v>
      </c>
      <c r="AG69" s="148" t="s">
        <v>1011</v>
      </c>
      <c r="AH69" s="148"/>
      <c r="AI69" s="148"/>
      <c r="AJ69" s="148"/>
      <c r="AK69" s="148"/>
      <c r="AL69" s="148"/>
      <c r="AM69" s="148"/>
      <c r="AN69" s="148"/>
    </row>
    <row r="70" spans="6:54" x14ac:dyDescent="0.3">
      <c r="F70" s="19"/>
      <c r="G70" s="134"/>
      <c r="H70" s="134"/>
      <c r="I70" s="134"/>
      <c r="J70" s="134"/>
      <c r="K70" s="134"/>
      <c r="L70" s="134"/>
      <c r="M70" s="134"/>
      <c r="N70" s="134"/>
      <c r="O70" s="134"/>
      <c r="P70" s="135"/>
      <c r="Q70" s="134"/>
      <c r="R70" s="135"/>
      <c r="S70" s="135"/>
      <c r="T70" s="135"/>
      <c r="U70" s="135"/>
      <c r="V70" s="135"/>
      <c r="W70" s="134"/>
      <c r="X70" s="134"/>
      <c r="Y70" s="134"/>
      <c r="Z70" s="135"/>
      <c r="AA70" s="135"/>
      <c r="AB70" s="135"/>
      <c r="AC70" s="135"/>
      <c r="AD70" s="135"/>
      <c r="AE70" s="135"/>
      <c r="AG70" s="148"/>
      <c r="AH70" s="148"/>
      <c r="AI70" s="148"/>
      <c r="AJ70" s="148"/>
      <c r="AK70" s="148"/>
      <c r="AL70" s="148"/>
      <c r="AM70" s="148"/>
      <c r="AN70" s="148"/>
      <c r="AP70" s="19"/>
      <c r="BA70" t="s">
        <v>1052</v>
      </c>
    </row>
    <row r="71" spans="6:54" ht="18" x14ac:dyDescent="0.35">
      <c r="F71" s="19" t="s">
        <v>51</v>
      </c>
      <c r="G71" s="143">
        <v>44141.741935483871</v>
      </c>
      <c r="H71" s="143"/>
      <c r="I71" s="143">
        <v>44920.548387096773</v>
      </c>
      <c r="J71" s="133">
        <v>1.5483870967741935</v>
      </c>
      <c r="K71" s="133">
        <v>190.45161290322579</v>
      </c>
      <c r="L71" s="133">
        <v>65.009677419354844</v>
      </c>
      <c r="M71" s="133">
        <v>2.8677419354838714</v>
      </c>
      <c r="N71" s="133"/>
      <c r="O71" s="133">
        <v>56.973548387096777</v>
      </c>
      <c r="P71" s="133">
        <v>2.6451612903225805</v>
      </c>
      <c r="Q71" s="133"/>
      <c r="R71" s="133">
        <v>60.990322580645156</v>
      </c>
      <c r="S71" s="133">
        <v>2.8096774193548391</v>
      </c>
      <c r="T71" s="133"/>
      <c r="U71" s="133"/>
      <c r="V71" s="133"/>
      <c r="W71" s="133">
        <v>2.064516129032258</v>
      </c>
      <c r="X71" s="133">
        <v>328.82</v>
      </c>
      <c r="Y71" s="133">
        <v>175.53333333333333</v>
      </c>
      <c r="Z71" s="133">
        <v>276.07096774193553</v>
      </c>
      <c r="AA71" s="133">
        <v>142.45161290322579</v>
      </c>
      <c r="AB71" s="133">
        <v>1.6780645161290324</v>
      </c>
      <c r="AC71" s="133"/>
      <c r="AD71" s="133"/>
      <c r="AE71" s="133">
        <v>0.57405793911585368</v>
      </c>
      <c r="AG71" s="27" t="s">
        <v>1021</v>
      </c>
      <c r="AH71" s="19"/>
      <c r="AI71" s="19"/>
      <c r="AJ71" s="19"/>
      <c r="AK71" s="19"/>
      <c r="AL71" s="19"/>
      <c r="AM71" s="19"/>
      <c r="AN71" s="19"/>
      <c r="AO71" s="19"/>
      <c r="BA71" t="s">
        <v>1056</v>
      </c>
    </row>
    <row r="72" spans="6:54" x14ac:dyDescent="0.3">
      <c r="F72" s="19" t="s">
        <v>52</v>
      </c>
      <c r="G72" s="20">
        <v>491.24650755277207</v>
      </c>
      <c r="H72" s="20"/>
      <c r="I72" s="20">
        <v>24.234739128886062</v>
      </c>
      <c r="J72" s="133">
        <v>0.62389687595624066</v>
      </c>
      <c r="K72" s="133">
        <v>24.234739128886112</v>
      </c>
      <c r="L72" s="133">
        <v>8.2510344740809778</v>
      </c>
      <c r="M72" s="133">
        <v>0.24817614278867009</v>
      </c>
      <c r="N72" s="133"/>
      <c r="O72" s="133">
        <v>10.418050856849993</v>
      </c>
      <c r="P72" s="133">
        <v>0.2693680377939191</v>
      </c>
      <c r="Q72" s="133"/>
      <c r="R72" s="133">
        <v>9.1060549393873842</v>
      </c>
      <c r="S72" s="133">
        <v>0.21657152584412287</v>
      </c>
      <c r="T72" s="133"/>
      <c r="U72" s="133"/>
      <c r="V72" s="133"/>
      <c r="W72" s="133">
        <v>1.3400369117047422</v>
      </c>
      <c r="X72" s="133">
        <v>68.914825276257687</v>
      </c>
      <c r="Y72" s="133">
        <v>28.6776833759201</v>
      </c>
      <c r="Z72" s="133">
        <v>79.373518646747456</v>
      </c>
      <c r="AA72" s="133">
        <v>24.23473912888603</v>
      </c>
      <c r="AB72" s="133">
        <v>0.28410584124980298</v>
      </c>
      <c r="AC72" s="133"/>
      <c r="AD72" s="133"/>
      <c r="AE72" s="133">
        <v>0.29389584272375702</v>
      </c>
      <c r="AG72" s="19"/>
      <c r="AH72" s="19"/>
      <c r="AI72" s="19"/>
      <c r="AJ72" s="19"/>
      <c r="AK72" s="19"/>
      <c r="AL72" s="19"/>
      <c r="AM72" s="19"/>
      <c r="BA72" t="s">
        <v>1053</v>
      </c>
    </row>
    <row r="73" spans="6:54" x14ac:dyDescent="0.3">
      <c r="F73" s="19"/>
      <c r="G73" s="133">
        <v>31</v>
      </c>
      <c r="H73" s="133"/>
      <c r="I73" s="133">
        <v>31</v>
      </c>
      <c r="J73" s="133">
        <v>31</v>
      </c>
      <c r="K73" s="133">
        <v>31</v>
      </c>
      <c r="L73" s="133">
        <v>31</v>
      </c>
      <c r="M73" s="133">
        <v>31</v>
      </c>
      <c r="N73" s="133"/>
      <c r="O73" s="133">
        <v>31</v>
      </c>
      <c r="P73" s="133">
        <v>31</v>
      </c>
      <c r="Q73" s="133"/>
      <c r="R73" s="133">
        <v>31</v>
      </c>
      <c r="S73" s="133">
        <v>31</v>
      </c>
      <c r="T73" s="133"/>
      <c r="U73" s="133"/>
      <c r="V73" s="133"/>
      <c r="W73" s="133">
        <v>31</v>
      </c>
      <c r="X73" s="133">
        <v>15</v>
      </c>
      <c r="Y73" s="133">
        <v>15</v>
      </c>
      <c r="Z73" s="133">
        <v>31</v>
      </c>
      <c r="AA73" s="133">
        <v>31</v>
      </c>
      <c r="AB73" s="133">
        <v>31</v>
      </c>
      <c r="AC73" s="133"/>
      <c r="AD73" s="133"/>
      <c r="AE73" s="133">
        <v>31</v>
      </c>
      <c r="AG73" s="19"/>
      <c r="AH73" s="19"/>
      <c r="AI73" s="19"/>
      <c r="AJ73" s="19"/>
      <c r="AK73" s="19"/>
      <c r="AL73" s="19"/>
      <c r="AM73" s="19"/>
      <c r="BA73" t="s">
        <v>1054</v>
      </c>
    </row>
    <row r="74" spans="6:54" x14ac:dyDescent="0.3">
      <c r="F74" s="19"/>
      <c r="G74" s="135">
        <f t="shared" ref="G74:S74" si="33">G72/(SQRT(G73))</f>
        <v>88.230477358613996</v>
      </c>
      <c r="H74" s="135"/>
      <c r="I74" s="135">
        <f t="shared" si="33"/>
        <v>4.3526876407836808</v>
      </c>
      <c r="J74" s="135">
        <f t="shared" si="33"/>
        <v>0.11205518683968192</v>
      </c>
      <c r="K74" s="135">
        <f t="shared" si="33"/>
        <v>4.3526876407836905</v>
      </c>
      <c r="L74" s="135">
        <f t="shared" si="33"/>
        <v>1.4819295387506459</v>
      </c>
      <c r="M74" s="135">
        <f t="shared" si="33"/>
        <v>4.4573751081399111E-2</v>
      </c>
      <c r="N74" s="135"/>
      <c r="O74" s="135">
        <f t="shared" si="33"/>
        <v>1.8711371706748441</v>
      </c>
      <c r="P74" s="135">
        <f t="shared" si="33"/>
        <v>4.8379927784336557E-2</v>
      </c>
      <c r="Q74" s="135"/>
      <c r="R74" s="135">
        <f t="shared" ref="R74" si="34">R72/(SQRT(R73))</f>
        <v>1.6354957476610767</v>
      </c>
      <c r="S74" s="135">
        <f t="shared" si="33"/>
        <v>3.8897394309633175E-2</v>
      </c>
      <c r="T74" s="135"/>
      <c r="U74" s="135"/>
      <c r="V74" s="135"/>
      <c r="W74" s="135">
        <f t="shared" ref="W74:X74" si="35">W72/(SQRT(W73))</f>
        <v>0.24067773425375691</v>
      </c>
      <c r="X74" s="135">
        <f t="shared" si="35"/>
        <v>17.793731373449329</v>
      </c>
      <c r="Y74" s="135">
        <f>Y72/(SQRT(Y73))</f>
        <v>7.4045460081831891</v>
      </c>
      <c r="Z74" s="135">
        <f t="shared" ref="Z74:AA74" si="36">Z72/(SQRT(Z73))</f>
        <v>14.255904789476928</v>
      </c>
      <c r="AA74" s="135">
        <f t="shared" si="36"/>
        <v>4.3526876407836754</v>
      </c>
      <c r="AB74" s="135">
        <f t="shared" ref="AB74" si="37">AB72/(SQRT(AB73))</f>
        <v>5.1026915425241834E-2</v>
      </c>
      <c r="AC74" s="135"/>
      <c r="AD74" s="135"/>
      <c r="AE74" s="135">
        <f t="shared" ref="AE74" si="38">AE72/(SQRT(AE73))</f>
        <v>5.2785251596813916E-2</v>
      </c>
      <c r="BA74" t="s">
        <v>1055</v>
      </c>
    </row>
    <row r="75" spans="6:54" x14ac:dyDescent="0.3">
      <c r="F75" s="19"/>
      <c r="G75" s="19"/>
      <c r="H75" s="19"/>
      <c r="I75" s="19"/>
      <c r="J75" s="19"/>
      <c r="K75" s="21"/>
      <c r="L75" s="21"/>
      <c r="M75" s="21"/>
      <c r="N75" s="21"/>
      <c r="O75" s="21"/>
      <c r="P75" s="20"/>
      <c r="Q75" s="21"/>
      <c r="R75" s="20"/>
      <c r="S75" s="20"/>
      <c r="T75" s="20"/>
      <c r="U75" s="20"/>
      <c r="V75" s="20"/>
      <c r="W75" s="19"/>
      <c r="X75" s="21"/>
      <c r="Y75" s="19"/>
      <c r="Z75" s="19"/>
      <c r="AA75" s="19"/>
      <c r="AB75" s="19"/>
      <c r="AC75" s="19"/>
      <c r="AD75" s="19"/>
      <c r="AE75" s="19"/>
    </row>
    <row r="76" spans="6:54" x14ac:dyDescent="0.3">
      <c r="F76" s="19" t="s">
        <v>53</v>
      </c>
      <c r="G76" s="143">
        <v>44006.400000000001</v>
      </c>
      <c r="H76" s="143"/>
      <c r="I76" s="143">
        <v>44908.633333333331</v>
      </c>
      <c r="J76" s="20">
        <v>1.7666666666666666</v>
      </c>
      <c r="K76" s="20">
        <v>202.36666666666667</v>
      </c>
      <c r="L76" s="20">
        <v>68.539999999999992</v>
      </c>
      <c r="M76" s="20">
        <v>2.9366666666666661</v>
      </c>
      <c r="N76" s="20"/>
      <c r="O76" s="20">
        <v>62.696666666666651</v>
      </c>
      <c r="P76" s="20">
        <v>2.746666666666667</v>
      </c>
      <c r="Q76" s="20"/>
      <c r="R76" s="20">
        <v>66.293333333333351</v>
      </c>
      <c r="S76" s="20">
        <v>2.8833333333333333</v>
      </c>
      <c r="T76" s="20"/>
      <c r="U76" s="20"/>
      <c r="V76" s="20"/>
      <c r="W76" s="20">
        <v>2.4333333333333331</v>
      </c>
      <c r="X76" s="20">
        <v>330.35454545454542</v>
      </c>
      <c r="Y76" s="20">
        <v>173.09090909090909</v>
      </c>
      <c r="Z76" s="20">
        <v>304.66999999999996</v>
      </c>
      <c r="AA76" s="20">
        <v>154.36666666666667</v>
      </c>
      <c r="AB76" s="20">
        <v>1.5729999999999995</v>
      </c>
      <c r="AC76" s="20"/>
      <c r="AD76" s="20"/>
      <c r="AE76" s="20">
        <v>0.70881026554483961</v>
      </c>
    </row>
    <row r="77" spans="6:54" x14ac:dyDescent="0.3">
      <c r="F77" s="19"/>
      <c r="G77" s="20">
        <v>448.61776987573273</v>
      </c>
      <c r="H77" s="20"/>
      <c r="I77" s="20">
        <v>21.584610311489307</v>
      </c>
      <c r="J77" s="20">
        <v>0.62606231557929237</v>
      </c>
      <c r="K77" s="20">
        <v>21.584610311489222</v>
      </c>
      <c r="L77" s="20">
        <v>8.8150576503680345</v>
      </c>
      <c r="M77" s="20">
        <v>0.28945052978946562</v>
      </c>
      <c r="N77" s="20"/>
      <c r="O77" s="20">
        <v>11.033453622985679</v>
      </c>
      <c r="P77" s="20">
        <v>0.27131014614698595</v>
      </c>
      <c r="Q77" s="20"/>
      <c r="R77" s="20">
        <v>9.5311443512139036</v>
      </c>
      <c r="S77" s="20">
        <v>0.23353849765093862</v>
      </c>
      <c r="T77" s="20"/>
      <c r="U77" s="20"/>
      <c r="V77" s="20"/>
      <c r="W77" s="20">
        <v>1.2228664272317624</v>
      </c>
      <c r="X77" s="20">
        <v>87.773077156911242</v>
      </c>
      <c r="Y77" s="20">
        <v>26.756234860235967</v>
      </c>
      <c r="Z77" s="20">
        <v>82.798176516652802</v>
      </c>
      <c r="AA77" s="20">
        <v>21.584610311489314</v>
      </c>
      <c r="AB77" s="20">
        <v>0.28222209400546711</v>
      </c>
      <c r="AC77" s="20"/>
      <c r="AD77" s="20"/>
      <c r="AE77" s="20">
        <v>0.26919658554575315</v>
      </c>
    </row>
    <row r="78" spans="6:54" x14ac:dyDescent="0.3">
      <c r="F78" s="19"/>
      <c r="G78" s="21">
        <v>30</v>
      </c>
      <c r="H78" s="21"/>
      <c r="I78" s="21">
        <v>30</v>
      </c>
      <c r="J78" s="21">
        <v>30</v>
      </c>
      <c r="K78" s="20">
        <v>30</v>
      </c>
      <c r="L78" s="20">
        <v>30</v>
      </c>
      <c r="M78" s="20">
        <v>30</v>
      </c>
      <c r="N78" s="20"/>
      <c r="O78" s="20">
        <v>30</v>
      </c>
      <c r="P78" s="20">
        <v>30</v>
      </c>
      <c r="Q78" s="20"/>
      <c r="R78" s="20">
        <v>30</v>
      </c>
      <c r="S78" s="20">
        <v>30</v>
      </c>
      <c r="T78" s="20"/>
      <c r="U78" s="20"/>
      <c r="V78" s="20"/>
      <c r="W78" s="20">
        <v>30</v>
      </c>
      <c r="X78" s="20">
        <v>22</v>
      </c>
      <c r="Y78" s="20">
        <v>22</v>
      </c>
      <c r="Z78" s="20">
        <v>30</v>
      </c>
      <c r="AA78" s="20">
        <v>30</v>
      </c>
      <c r="AB78" s="20">
        <v>30</v>
      </c>
      <c r="AC78" s="20"/>
      <c r="AD78" s="20"/>
      <c r="AE78" s="20">
        <v>30</v>
      </c>
    </row>
    <row r="79" spans="6:54" x14ac:dyDescent="0.3">
      <c r="F79" s="19"/>
      <c r="G79" s="20">
        <f t="shared" ref="G79:M79" si="39">G77/(SQRT(G78))</f>
        <v>81.906024086200134</v>
      </c>
      <c r="H79" s="20"/>
      <c r="I79" s="20">
        <f t="shared" si="39"/>
        <v>3.940792654187101</v>
      </c>
      <c r="J79" s="20">
        <f t="shared" si="39"/>
        <v>0.1143028175488988</v>
      </c>
      <c r="K79" s="20">
        <f t="shared" ref="K79:O79" si="40">K77/(SQRT(K78))</f>
        <v>3.9407926541870855</v>
      </c>
      <c r="L79" s="20">
        <f t="shared" si="39"/>
        <v>1.60940197360502</v>
      </c>
      <c r="M79" s="20">
        <f t="shared" si="39"/>
        <v>5.2846194815837126E-2</v>
      </c>
      <c r="N79" s="20"/>
      <c r="O79" s="20">
        <f t="shared" si="40"/>
        <v>2.0144238121654521</v>
      </c>
      <c r="P79" s="20">
        <f t="shared" ref="P79:S79" si="41">P77/(SQRT(P78))</f>
        <v>4.9534229041575846E-2</v>
      </c>
      <c r="Q79" s="20"/>
      <c r="R79" s="20">
        <f t="shared" ref="R79" si="42">R77/(SQRT(R78))</f>
        <v>1.7401409199992655</v>
      </c>
      <c r="S79" s="20">
        <f t="shared" si="41"/>
        <v>4.263810106976211E-2</v>
      </c>
      <c r="T79" s="20"/>
      <c r="U79" s="20"/>
      <c r="V79" s="20"/>
      <c r="W79" s="20">
        <f t="shared" ref="W79:AA79" si="43">W77/(SQRT(W78))</f>
        <v>0.223263842336862</v>
      </c>
      <c r="X79" s="20">
        <f t="shared" si="43"/>
        <v>18.713282926589741</v>
      </c>
      <c r="Y79" s="20">
        <f t="shared" si="43"/>
        <v>5.704448439181264</v>
      </c>
      <c r="Z79" s="20">
        <f t="shared" si="43"/>
        <v>15.116809666155087</v>
      </c>
      <c r="AA79" s="20">
        <f t="shared" si="43"/>
        <v>3.9407926541871023</v>
      </c>
      <c r="AB79" s="20">
        <f>AB77/(SQRT(AB78))</f>
        <v>5.1526469037712616E-2</v>
      </c>
      <c r="AC79" s="20"/>
      <c r="AD79" s="20"/>
      <c r="AE79" s="135">
        <f t="shared" ref="AE79" si="44">AE77/(SQRT(AE78))</f>
        <v>4.9148347435592717E-2</v>
      </c>
    </row>
    <row r="80" spans="6:54" x14ac:dyDescent="0.3">
      <c r="F80" s="19"/>
      <c r="G80" s="21"/>
      <c r="H80" s="21"/>
      <c r="I80" s="21"/>
      <c r="J80" s="21"/>
      <c r="K80" s="21"/>
      <c r="L80" s="21"/>
      <c r="M80" s="21"/>
      <c r="N80" s="21"/>
      <c r="O80" s="21"/>
      <c r="P80" s="20"/>
      <c r="Q80" s="21"/>
      <c r="R80" s="20"/>
      <c r="S80" s="20"/>
      <c r="T80" s="20"/>
      <c r="U80" s="20"/>
      <c r="V80" s="20"/>
      <c r="W80" s="21"/>
      <c r="X80" s="21"/>
      <c r="Y80" s="21"/>
      <c r="Z80" s="21"/>
      <c r="AA80" s="21"/>
      <c r="AB80" s="21"/>
      <c r="AC80" s="21"/>
      <c r="AD80" s="21"/>
      <c r="AE80" s="21"/>
    </row>
    <row r="81" spans="6:31" x14ac:dyDescent="0.3">
      <c r="F81" s="19" t="s">
        <v>54</v>
      </c>
      <c r="G81" s="143">
        <v>44125.055555555555</v>
      </c>
      <c r="H81" s="143"/>
      <c r="I81" s="143">
        <v>44919.333333333336</v>
      </c>
      <c r="J81" s="20">
        <v>1.3888888888888888</v>
      </c>
      <c r="K81" s="20">
        <v>191.66666666666666</v>
      </c>
      <c r="L81" s="20">
        <v>65.76111111111112</v>
      </c>
      <c r="M81" s="20">
        <v>2.9111111111111114</v>
      </c>
      <c r="N81" s="20"/>
      <c r="O81" s="20">
        <v>56.74</v>
      </c>
      <c r="P81" s="20">
        <v>2.6277777777777782</v>
      </c>
      <c r="Q81" s="20"/>
      <c r="R81" s="20">
        <v>61.06666666666667</v>
      </c>
      <c r="S81" s="20">
        <v>2.8055555555555558</v>
      </c>
      <c r="T81" s="20"/>
      <c r="U81" s="20"/>
      <c r="V81" s="20"/>
      <c r="W81" s="20">
        <v>2.1111111111111112</v>
      </c>
      <c r="X81" s="20">
        <v>330.53333333333336</v>
      </c>
      <c r="Y81" s="20">
        <v>176.44444444444446</v>
      </c>
      <c r="Z81" s="20">
        <v>282.02777777777777</v>
      </c>
      <c r="AA81" s="20">
        <v>143.66666666666666</v>
      </c>
      <c r="AB81" s="20">
        <v>1.7633333333333332</v>
      </c>
      <c r="AC81" s="20"/>
      <c r="AD81" s="20"/>
      <c r="AE81" s="20">
        <v>0.57578439207824084</v>
      </c>
    </row>
    <row r="82" spans="6:31" x14ac:dyDescent="0.3">
      <c r="F82" s="19"/>
      <c r="G82" s="20">
        <v>501.3306378995124</v>
      </c>
      <c r="H82" s="20"/>
      <c r="I82" s="20">
        <v>24.786144136925994</v>
      </c>
      <c r="J82" s="20">
        <v>0.60768498891418565</v>
      </c>
      <c r="K82" s="20">
        <v>24.786144136925991</v>
      </c>
      <c r="L82" s="20">
        <v>8.3777814618322299</v>
      </c>
      <c r="M82" s="20">
        <v>0.26096853289888933</v>
      </c>
      <c r="N82" s="20"/>
      <c r="O82" s="20">
        <v>9.5843143913866573</v>
      </c>
      <c r="P82" s="20">
        <v>0.24924723269584345</v>
      </c>
      <c r="Q82" s="20"/>
      <c r="R82" s="20">
        <v>9.4196290672566061</v>
      </c>
      <c r="S82" s="20">
        <v>0.22353371168894837</v>
      </c>
      <c r="T82" s="20"/>
      <c r="U82" s="20"/>
      <c r="V82" s="20"/>
      <c r="W82" s="20">
        <v>1.3672165321380638</v>
      </c>
      <c r="X82" s="20">
        <v>62.301003202195659</v>
      </c>
      <c r="Y82" s="20">
        <v>27.554995514022153</v>
      </c>
      <c r="Z82" s="20">
        <v>73.530416319935355</v>
      </c>
      <c r="AA82" s="20">
        <v>24.786144136925991</v>
      </c>
      <c r="AB82" s="20">
        <v>0.28838291537876071</v>
      </c>
      <c r="AC82" s="20"/>
      <c r="AD82" s="20"/>
      <c r="AE82" s="20">
        <v>0.27821912163537793</v>
      </c>
    </row>
    <row r="83" spans="6:31" x14ac:dyDescent="0.3">
      <c r="F83" s="19"/>
      <c r="G83" s="21">
        <v>18</v>
      </c>
      <c r="H83" s="21"/>
      <c r="I83" s="21">
        <v>18</v>
      </c>
      <c r="J83" s="21">
        <v>18</v>
      </c>
      <c r="K83" s="20">
        <v>18</v>
      </c>
      <c r="L83" s="20">
        <v>18</v>
      </c>
      <c r="M83" s="20">
        <v>18</v>
      </c>
      <c r="N83" s="20"/>
      <c r="O83" s="20">
        <v>18</v>
      </c>
      <c r="P83" s="20">
        <v>18</v>
      </c>
      <c r="Q83" s="20"/>
      <c r="R83" s="20">
        <v>18</v>
      </c>
      <c r="S83" s="20">
        <v>18</v>
      </c>
      <c r="T83" s="20"/>
      <c r="U83" s="20"/>
      <c r="V83" s="20"/>
      <c r="W83" s="20">
        <v>18</v>
      </c>
      <c r="X83" s="20">
        <v>9</v>
      </c>
      <c r="Y83" s="20">
        <v>9</v>
      </c>
      <c r="Z83" s="20">
        <v>18</v>
      </c>
      <c r="AA83" s="20">
        <v>18</v>
      </c>
      <c r="AB83" s="20">
        <v>18</v>
      </c>
      <c r="AC83" s="20"/>
      <c r="AD83" s="20"/>
      <c r="AE83" s="20">
        <v>18</v>
      </c>
    </row>
    <row r="84" spans="6:31" x14ac:dyDescent="0.3">
      <c r="F84" s="19"/>
      <c r="G84" s="20">
        <f t="shared" ref="G84:M84" si="45">G82/(SQRT(G83))</f>
        <v>118.16476455844095</v>
      </c>
      <c r="H84" s="20"/>
      <c r="I84" s="20">
        <f t="shared" si="45"/>
        <v>5.8421501995625196</v>
      </c>
      <c r="J84" s="20">
        <f t="shared" si="45"/>
        <v>0.14323272549549756</v>
      </c>
      <c r="K84" s="20">
        <f t="shared" ref="K84:O84" si="46">K82/(SQRT(K83))</f>
        <v>5.8421501995625187</v>
      </c>
      <c r="L84" s="20">
        <f t="shared" si="45"/>
        <v>1.9746620276535058</v>
      </c>
      <c r="M84" s="20">
        <f t="shared" si="45"/>
        <v>6.151087309636976E-2</v>
      </c>
      <c r="N84" s="20"/>
      <c r="O84" s="20">
        <f t="shared" si="46"/>
        <v>2.2590445663911081</v>
      </c>
      <c r="P84" s="20">
        <f t="shared" ref="P84:S84" si="47">P82/(SQRT(P83))</f>
        <v>5.8748136143737431E-2</v>
      </c>
      <c r="Q84" s="20"/>
      <c r="R84" s="20">
        <f t="shared" ref="R84" si="48">R82/(SQRT(R83))</f>
        <v>2.2202278632396868</v>
      </c>
      <c r="S84" s="20">
        <f t="shared" si="47"/>
        <v>5.2687401119684674E-2</v>
      </c>
      <c r="T84" s="20"/>
      <c r="U84" s="20"/>
      <c r="V84" s="20"/>
      <c r="W84" s="20">
        <f t="shared" ref="W84:AA84" si="49">W82/(SQRT(W83))</f>
        <v>0.32225602707506013</v>
      </c>
      <c r="X84" s="20">
        <f t="shared" si="49"/>
        <v>20.767001067398553</v>
      </c>
      <c r="Y84" s="20">
        <f t="shared" si="49"/>
        <v>9.1849985046740503</v>
      </c>
      <c r="Z84" s="20">
        <f t="shared" si="49"/>
        <v>17.331285334432092</v>
      </c>
      <c r="AA84" s="20">
        <f t="shared" si="49"/>
        <v>5.8421501995625187</v>
      </c>
      <c r="AB84" s="20">
        <f t="shared" ref="AB84" si="50">AB82/(SQRT(AB83))</f>
        <v>6.7972505014222667E-2</v>
      </c>
      <c r="AC84" s="20"/>
      <c r="AD84" s="20"/>
      <c r="AE84" s="135">
        <f t="shared" ref="AE84" si="51">AE82/(SQRT(AE83))</f>
        <v>6.5576875854713557E-2</v>
      </c>
    </row>
  </sheetData>
  <autoFilter ref="G4:BD52"/>
  <mergeCells count="7">
    <mergeCell ref="AG69:AN70"/>
    <mergeCell ref="R3:S3"/>
    <mergeCell ref="AU67:BB68"/>
    <mergeCell ref="AF3:AO3"/>
    <mergeCell ref="AP3:AS3"/>
    <mergeCell ref="AT3:AW3"/>
    <mergeCell ref="W3:AC3"/>
  </mergeCells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466</vt:i4>
      </vt:variant>
    </vt:vector>
  </HeadingPairs>
  <TitlesOfParts>
    <vt:vector size="472" baseType="lpstr">
      <vt:lpstr>Infos protocole</vt:lpstr>
      <vt:lpstr>Planning</vt:lpstr>
      <vt:lpstr>Correspondance Tags</vt:lpstr>
      <vt:lpstr>Data Activité Béliers</vt:lpstr>
      <vt:lpstr>Data Détecteur IA</vt:lpstr>
      <vt:lpstr>All Data EM La Fage 2023</vt:lpstr>
      <vt:lpstr>'Data Activité Béliers'!_1317755739475482419_13_07_24</vt:lpstr>
      <vt:lpstr>'Data Détecteur IA'!_1317755739475482419_13_07_24</vt:lpstr>
      <vt:lpstr>'Data Activité Béliers'!_1317755739475482419_13_07_25</vt:lpstr>
      <vt:lpstr>'Data Détecteur IA'!_1317755739475482419_13_07_25</vt:lpstr>
      <vt:lpstr>'Data Détecteur IA'!_1317755739475482419_13_07_26</vt:lpstr>
      <vt:lpstr>'Data Détecteur IA'!_1317755739475482419_13_07_27</vt:lpstr>
      <vt:lpstr>'Data Activité Béliers'!_16_06_100</vt:lpstr>
      <vt:lpstr>'Data Détecteur IA'!_16_06_100</vt:lpstr>
      <vt:lpstr>'Data Activité Béliers'!_16_06_101</vt:lpstr>
      <vt:lpstr>'Data Détecteur IA'!_16_06_101</vt:lpstr>
      <vt:lpstr>'Data Activité Béliers'!_16_06_102</vt:lpstr>
      <vt:lpstr>'Data Détecteur IA'!_16_06_102</vt:lpstr>
      <vt:lpstr>'Data Activité Béliers'!_16_06_103</vt:lpstr>
      <vt:lpstr>'Data Détecteur IA'!_16_06_103</vt:lpstr>
      <vt:lpstr>'Data Activité Béliers'!_16_06_104</vt:lpstr>
      <vt:lpstr>'Data Détecteur IA'!_16_06_104</vt:lpstr>
      <vt:lpstr>'Data Activité Béliers'!_16_06_105</vt:lpstr>
      <vt:lpstr>'Data Détecteur IA'!_16_06_105</vt:lpstr>
      <vt:lpstr>'Data Activité Béliers'!_16_06_106</vt:lpstr>
      <vt:lpstr>'Data Détecteur IA'!_16_06_106</vt:lpstr>
      <vt:lpstr>'Data Activité Béliers'!_16_06_107</vt:lpstr>
      <vt:lpstr>'Data Détecteur IA'!_16_06_107</vt:lpstr>
      <vt:lpstr>'Data Activité Béliers'!_16_06_108</vt:lpstr>
      <vt:lpstr>'Data Détecteur IA'!_16_06_108</vt:lpstr>
      <vt:lpstr>'Data Activité Béliers'!_16_06_109</vt:lpstr>
      <vt:lpstr>'Data Détecteur IA'!_16_06_109</vt:lpstr>
      <vt:lpstr>'Data Activité Béliers'!_16_06_110</vt:lpstr>
      <vt:lpstr>'Data Détecteur IA'!_16_06_110</vt:lpstr>
      <vt:lpstr>'Data Activité Béliers'!_16_06_111</vt:lpstr>
      <vt:lpstr>'Data Détecteur IA'!_16_06_111</vt:lpstr>
      <vt:lpstr>'Data Activité Béliers'!_16_06_112</vt:lpstr>
      <vt:lpstr>'Data Détecteur IA'!_16_06_112</vt:lpstr>
      <vt:lpstr>'Data Activité Béliers'!_16_06_113</vt:lpstr>
      <vt:lpstr>'Data Détecteur IA'!_16_06_113</vt:lpstr>
      <vt:lpstr>'Data Activité Béliers'!_16_06_114</vt:lpstr>
      <vt:lpstr>'Data Détecteur IA'!_16_06_114</vt:lpstr>
      <vt:lpstr>'Data Activité Béliers'!_16_06_115</vt:lpstr>
      <vt:lpstr>'Data Détecteur IA'!_16_06_115</vt:lpstr>
      <vt:lpstr>'Data Activité Béliers'!_16_06_116</vt:lpstr>
      <vt:lpstr>'Data Détecteur IA'!_16_06_116</vt:lpstr>
      <vt:lpstr>'Data Activité Béliers'!_16_06_117</vt:lpstr>
      <vt:lpstr>'Data Détecteur IA'!_16_06_117</vt:lpstr>
      <vt:lpstr>'Data Activité Béliers'!_16_06_118</vt:lpstr>
      <vt:lpstr>'Data Détecteur IA'!_16_06_118</vt:lpstr>
      <vt:lpstr>'Data Activité Béliers'!_16_06_119</vt:lpstr>
      <vt:lpstr>'Data Détecteur IA'!_16_06_119</vt:lpstr>
      <vt:lpstr>'Data Activité Béliers'!_16_06_120</vt:lpstr>
      <vt:lpstr>'Data Détecteur IA'!_16_06_120</vt:lpstr>
      <vt:lpstr>'Data Activité Béliers'!_16_06_121</vt:lpstr>
      <vt:lpstr>'Data Détecteur IA'!_16_06_121</vt:lpstr>
      <vt:lpstr>'Data Activité Béliers'!_16_06_122</vt:lpstr>
      <vt:lpstr>'Data Détecteur IA'!_16_06_122</vt:lpstr>
      <vt:lpstr>'Data Activité Béliers'!_16_06_123</vt:lpstr>
      <vt:lpstr>'Data Détecteur IA'!_16_06_123</vt:lpstr>
      <vt:lpstr>'Data Activité Béliers'!_16_06_124</vt:lpstr>
      <vt:lpstr>'Data Détecteur IA'!_16_06_124</vt:lpstr>
      <vt:lpstr>'Data Activité Béliers'!_16_06_125</vt:lpstr>
      <vt:lpstr>'Data Détecteur IA'!_16_06_125</vt:lpstr>
      <vt:lpstr>'Data Activité Béliers'!_16_06_126</vt:lpstr>
      <vt:lpstr>'Data Détecteur IA'!_16_06_126</vt:lpstr>
      <vt:lpstr>'Data Activité Béliers'!_16_06_127</vt:lpstr>
      <vt:lpstr>'Data Détecteur IA'!_16_06_127</vt:lpstr>
      <vt:lpstr>'Data Activité Béliers'!_16_06_128</vt:lpstr>
      <vt:lpstr>'Data Détecteur IA'!_16_06_128</vt:lpstr>
      <vt:lpstr>'Data Activité Béliers'!_16_06_129</vt:lpstr>
      <vt:lpstr>'Data Détecteur IA'!_16_06_129</vt:lpstr>
      <vt:lpstr>'Data Activité Béliers'!_16_06_130</vt:lpstr>
      <vt:lpstr>'Data Détecteur IA'!_16_06_130</vt:lpstr>
      <vt:lpstr>'Data Activité Béliers'!_16_06_131</vt:lpstr>
      <vt:lpstr>'Data Détecteur IA'!_16_06_131</vt:lpstr>
      <vt:lpstr>'Data Activité Béliers'!_16_06_132</vt:lpstr>
      <vt:lpstr>'Data Détecteur IA'!_16_06_132</vt:lpstr>
      <vt:lpstr>'Data Activité Béliers'!_16_06_133</vt:lpstr>
      <vt:lpstr>'Data Détecteur IA'!_16_06_133</vt:lpstr>
      <vt:lpstr>'Data Activité Béliers'!_16_06_134</vt:lpstr>
      <vt:lpstr>'Data Détecteur IA'!_16_06_134</vt:lpstr>
      <vt:lpstr>'Data Activité Béliers'!_16_06_135</vt:lpstr>
      <vt:lpstr>'Data Détecteur IA'!_16_06_135</vt:lpstr>
      <vt:lpstr>'Data Activité Béliers'!_16_06_136</vt:lpstr>
      <vt:lpstr>'Data Détecteur IA'!_16_06_136</vt:lpstr>
      <vt:lpstr>'Data Activité Béliers'!_16_06_137</vt:lpstr>
      <vt:lpstr>'Data Détecteur IA'!_16_06_137</vt:lpstr>
      <vt:lpstr>'Data Activité Béliers'!_16_06_138</vt:lpstr>
      <vt:lpstr>'Data Détecteur IA'!_16_06_138</vt:lpstr>
      <vt:lpstr>'Data Activité Béliers'!_16_06_139</vt:lpstr>
      <vt:lpstr>'Data Détecteur IA'!_16_06_139</vt:lpstr>
      <vt:lpstr>'Data Activité Béliers'!_16_06_140</vt:lpstr>
      <vt:lpstr>'Data Détecteur IA'!_16_06_140</vt:lpstr>
      <vt:lpstr>'Data Activité Béliers'!_16_06_141</vt:lpstr>
      <vt:lpstr>'Data Détecteur IA'!_16_06_141</vt:lpstr>
      <vt:lpstr>'Data Activité Béliers'!_16_06_142</vt:lpstr>
      <vt:lpstr>'Data Détecteur IA'!_16_06_142</vt:lpstr>
      <vt:lpstr>'Data Activité Béliers'!_16_06_143</vt:lpstr>
      <vt:lpstr>'Data Détecteur IA'!_16_06_143</vt:lpstr>
      <vt:lpstr>'Data Activité Béliers'!_16_06_144</vt:lpstr>
      <vt:lpstr>'Data Détecteur IA'!_16_06_144</vt:lpstr>
      <vt:lpstr>'Data Activité Béliers'!_16_06_145</vt:lpstr>
      <vt:lpstr>'Data Détecteur IA'!_16_06_145</vt:lpstr>
      <vt:lpstr>'Data Activité Béliers'!_16_06_146</vt:lpstr>
      <vt:lpstr>'Data Détecteur IA'!_16_06_146</vt:lpstr>
      <vt:lpstr>'Data Activité Béliers'!_16_06_147</vt:lpstr>
      <vt:lpstr>'Data Détecteur IA'!_16_06_147</vt:lpstr>
      <vt:lpstr>'Data Activité Béliers'!_16_06_148</vt:lpstr>
      <vt:lpstr>'Data Détecteur IA'!_16_06_148</vt:lpstr>
      <vt:lpstr>'Data Activité Béliers'!_16_06_149</vt:lpstr>
      <vt:lpstr>'Data Détecteur IA'!_16_06_149</vt:lpstr>
      <vt:lpstr>'Data Activité Béliers'!_16_06_150</vt:lpstr>
      <vt:lpstr>'Data Détecteur IA'!_16_06_150</vt:lpstr>
      <vt:lpstr>'Data Activité Béliers'!_16_06_151</vt:lpstr>
      <vt:lpstr>'Data Détecteur IA'!_16_06_151</vt:lpstr>
      <vt:lpstr>'Data Activité Béliers'!_16_06_152</vt:lpstr>
      <vt:lpstr>'Data Détecteur IA'!_16_06_152</vt:lpstr>
      <vt:lpstr>'Data Activité Béliers'!_16_06_153</vt:lpstr>
      <vt:lpstr>'Data Détecteur IA'!_16_06_153</vt:lpstr>
      <vt:lpstr>'Data Activité Béliers'!_16_06_154</vt:lpstr>
      <vt:lpstr>'Data Détecteur IA'!_16_06_154</vt:lpstr>
      <vt:lpstr>'Data Activité Béliers'!_16_06_155</vt:lpstr>
      <vt:lpstr>'Data Détecteur IA'!_16_06_155</vt:lpstr>
      <vt:lpstr>'Data Activité Béliers'!_16_06_156</vt:lpstr>
      <vt:lpstr>'Data Détecteur IA'!_16_06_156</vt:lpstr>
      <vt:lpstr>'Data Activité Béliers'!_16_06_157</vt:lpstr>
      <vt:lpstr>'Data Détecteur IA'!_16_06_157</vt:lpstr>
      <vt:lpstr>'Data Activité Béliers'!_16_06_158</vt:lpstr>
      <vt:lpstr>'Data Détecteur IA'!_16_06_158</vt:lpstr>
      <vt:lpstr>'Data Activité Béliers'!_16_06_159</vt:lpstr>
      <vt:lpstr>'Data Détecteur IA'!_16_06_159</vt:lpstr>
      <vt:lpstr>'Data Activité Béliers'!_16_06_160</vt:lpstr>
      <vt:lpstr>'Data Détecteur IA'!_16_06_160</vt:lpstr>
      <vt:lpstr>'Data Activité Béliers'!_16_06_161</vt:lpstr>
      <vt:lpstr>'Data Détecteur IA'!_16_06_161</vt:lpstr>
      <vt:lpstr>'Data Activité Béliers'!_16_06_162</vt:lpstr>
      <vt:lpstr>'Data Détecteur IA'!_16_06_162</vt:lpstr>
      <vt:lpstr>'Data Activité Béliers'!_16_06_163</vt:lpstr>
      <vt:lpstr>'Data Détecteur IA'!_16_06_163</vt:lpstr>
      <vt:lpstr>'Data Activité Béliers'!_16_06_164</vt:lpstr>
      <vt:lpstr>'Data Détecteur IA'!_16_06_164</vt:lpstr>
      <vt:lpstr>'Data Activité Béliers'!_16_06_165</vt:lpstr>
      <vt:lpstr>'Data Détecteur IA'!_16_06_165</vt:lpstr>
      <vt:lpstr>'Data Activité Béliers'!_16_06_166</vt:lpstr>
      <vt:lpstr>'Data Détecteur IA'!_16_06_166</vt:lpstr>
      <vt:lpstr>'Data Activité Béliers'!_16_06_167</vt:lpstr>
      <vt:lpstr>'Data Détecteur IA'!_16_06_167</vt:lpstr>
      <vt:lpstr>'Data Activité Béliers'!_16_06_168</vt:lpstr>
      <vt:lpstr>'Data Détecteur IA'!_16_06_168</vt:lpstr>
      <vt:lpstr>'Data Activité Béliers'!_16_06_169</vt:lpstr>
      <vt:lpstr>'Data Détecteur IA'!_16_06_169</vt:lpstr>
      <vt:lpstr>'Data Activité Béliers'!_16_06_170</vt:lpstr>
      <vt:lpstr>'Data Détecteur IA'!_16_06_170</vt:lpstr>
      <vt:lpstr>'Data Activité Béliers'!_16_06_171</vt:lpstr>
      <vt:lpstr>'Data Détecteur IA'!_16_06_171</vt:lpstr>
      <vt:lpstr>'Data Activité Béliers'!_16_06_172</vt:lpstr>
      <vt:lpstr>'Data Détecteur IA'!_16_06_172</vt:lpstr>
      <vt:lpstr>'Data Activité Béliers'!_16_06_173</vt:lpstr>
      <vt:lpstr>'Data Détecteur IA'!_16_06_173</vt:lpstr>
      <vt:lpstr>'Data Activité Béliers'!_16_06_174</vt:lpstr>
      <vt:lpstr>'Data Détecteur IA'!_16_06_174</vt:lpstr>
      <vt:lpstr>'Data Activité Béliers'!_16_06_175</vt:lpstr>
      <vt:lpstr>'Data Détecteur IA'!_16_06_175</vt:lpstr>
      <vt:lpstr>'Data Activité Béliers'!_16_06_176</vt:lpstr>
      <vt:lpstr>'Data Détecteur IA'!_16_06_176</vt:lpstr>
      <vt:lpstr>'Data Activité Béliers'!_16_06_177</vt:lpstr>
      <vt:lpstr>'Data Détecteur IA'!_16_06_177</vt:lpstr>
      <vt:lpstr>'Data Activité Béliers'!_16_06_178</vt:lpstr>
      <vt:lpstr>'Data Détecteur IA'!_16_06_178</vt:lpstr>
      <vt:lpstr>'Data Activité Béliers'!_16_06_179</vt:lpstr>
      <vt:lpstr>'Data Détecteur IA'!_16_06_179</vt:lpstr>
      <vt:lpstr>'Data Activité Béliers'!_16_06_180</vt:lpstr>
      <vt:lpstr>'Data Détecteur IA'!_16_06_180</vt:lpstr>
      <vt:lpstr>'Data Activité Béliers'!_16_06_181</vt:lpstr>
      <vt:lpstr>'Data Détecteur IA'!_16_06_181</vt:lpstr>
      <vt:lpstr>'Data Activité Béliers'!_16_06_182</vt:lpstr>
      <vt:lpstr>'Data Détecteur IA'!_16_06_182</vt:lpstr>
      <vt:lpstr>'Data Activité Béliers'!_16_06_183</vt:lpstr>
      <vt:lpstr>'Data Détecteur IA'!_16_06_183</vt:lpstr>
      <vt:lpstr>'Data Activité Béliers'!_16_06_184</vt:lpstr>
      <vt:lpstr>'Data Détecteur IA'!_16_06_184</vt:lpstr>
      <vt:lpstr>'Data Activité Béliers'!_16_06_185</vt:lpstr>
      <vt:lpstr>'Data Détecteur IA'!_16_06_185</vt:lpstr>
      <vt:lpstr>'Data Activité Béliers'!_16_06_186</vt:lpstr>
      <vt:lpstr>'Data Détecteur IA'!_16_06_186</vt:lpstr>
      <vt:lpstr>'Data Activité Béliers'!_16_06_187</vt:lpstr>
      <vt:lpstr>'Data Détecteur IA'!_16_06_187</vt:lpstr>
      <vt:lpstr>'Data Activité Béliers'!_16_06_188</vt:lpstr>
      <vt:lpstr>'Data Détecteur IA'!_16_06_188</vt:lpstr>
      <vt:lpstr>'Data Activité Béliers'!_16_06_189</vt:lpstr>
      <vt:lpstr>'Data Détecteur IA'!_16_06_189</vt:lpstr>
      <vt:lpstr>'Data Activité Béliers'!_16_06_190</vt:lpstr>
      <vt:lpstr>'Data Détecteur IA'!_16_06_190</vt:lpstr>
      <vt:lpstr>'Data Activité Béliers'!_16_06_191</vt:lpstr>
      <vt:lpstr>'Data Détecteur IA'!_16_06_191</vt:lpstr>
      <vt:lpstr>'Data Activité Béliers'!_16_06_192</vt:lpstr>
      <vt:lpstr>'Data Détecteur IA'!_16_06_192</vt:lpstr>
      <vt:lpstr>'Data Activité Béliers'!_16_06_193</vt:lpstr>
      <vt:lpstr>'Data Détecteur IA'!_16_06_193</vt:lpstr>
      <vt:lpstr>'Data Activité Béliers'!_16_06_194</vt:lpstr>
      <vt:lpstr>'Data Détecteur IA'!_16_06_194</vt:lpstr>
      <vt:lpstr>'Data Activité Béliers'!_16_06_195</vt:lpstr>
      <vt:lpstr>'Data Détecteur IA'!_16_06_195</vt:lpstr>
      <vt:lpstr>'Data Activité Béliers'!_16_06_196</vt:lpstr>
      <vt:lpstr>'Data Détecteur IA'!_16_06_196</vt:lpstr>
      <vt:lpstr>'Data Activité Béliers'!_16_06_197</vt:lpstr>
      <vt:lpstr>'Data Détecteur IA'!_16_06_197</vt:lpstr>
      <vt:lpstr>'Data Activité Béliers'!_16_06_198</vt:lpstr>
      <vt:lpstr>'Data Détecteur IA'!_16_06_198</vt:lpstr>
      <vt:lpstr>'Data Activité Béliers'!_16_06_199</vt:lpstr>
      <vt:lpstr>'Data Détecteur IA'!_16_06_199</vt:lpstr>
      <vt:lpstr>'Data Activité Béliers'!_16_06_200</vt:lpstr>
      <vt:lpstr>'Data Détecteur IA'!_16_06_200</vt:lpstr>
      <vt:lpstr>'Data Activité Béliers'!_16_06_201</vt:lpstr>
      <vt:lpstr>'Data Détecteur IA'!_16_06_201</vt:lpstr>
      <vt:lpstr>'Data Activité Béliers'!_16_06_202</vt:lpstr>
      <vt:lpstr>'Data Détecteur IA'!_16_06_202</vt:lpstr>
      <vt:lpstr>'Data Activité Béliers'!_16_06_203</vt:lpstr>
      <vt:lpstr>'Data Détecteur IA'!_16_06_203</vt:lpstr>
      <vt:lpstr>'Data Activité Béliers'!_16_06_204</vt:lpstr>
      <vt:lpstr>'Data Détecteur IA'!_16_06_204</vt:lpstr>
      <vt:lpstr>'Data Activité Béliers'!_16_06_205</vt:lpstr>
      <vt:lpstr>'Data Détecteur IA'!_16_06_205</vt:lpstr>
      <vt:lpstr>'Data Activité Béliers'!_16_06_206</vt:lpstr>
      <vt:lpstr>'Data Détecteur IA'!_16_06_206</vt:lpstr>
      <vt:lpstr>'Data Activité Béliers'!_16_06_207</vt:lpstr>
      <vt:lpstr>'Data Détecteur IA'!_16_06_207</vt:lpstr>
      <vt:lpstr>'Data Activité Béliers'!_16_06_208</vt:lpstr>
      <vt:lpstr>'Data Détecteur IA'!_16_06_208</vt:lpstr>
      <vt:lpstr>'Data Activité Béliers'!_16_06_209</vt:lpstr>
      <vt:lpstr>'Data Détecteur IA'!_16_06_209</vt:lpstr>
      <vt:lpstr>'Data Activité Béliers'!_16_06_210</vt:lpstr>
      <vt:lpstr>'Data Détecteur IA'!_16_06_210</vt:lpstr>
      <vt:lpstr>'Data Activité Béliers'!_16_06_211</vt:lpstr>
      <vt:lpstr>'Data Détecteur IA'!_16_06_211</vt:lpstr>
      <vt:lpstr>'Data Activité Béliers'!_16_06_212</vt:lpstr>
      <vt:lpstr>'Data Détecteur IA'!_16_06_212</vt:lpstr>
      <vt:lpstr>'Data Activité Béliers'!_16_06_213</vt:lpstr>
      <vt:lpstr>'Data Détecteur IA'!_16_06_213</vt:lpstr>
      <vt:lpstr>'Data Activité Béliers'!_16_06_214</vt:lpstr>
      <vt:lpstr>'Data Détecteur IA'!_16_06_214</vt:lpstr>
      <vt:lpstr>'Data Activité Béliers'!_16_06_215</vt:lpstr>
      <vt:lpstr>'Data Détecteur IA'!_16_06_215</vt:lpstr>
      <vt:lpstr>'Data Activité Béliers'!_16_06_216</vt:lpstr>
      <vt:lpstr>'Data Détecteur IA'!_16_06_216</vt:lpstr>
      <vt:lpstr>'Data Activité Béliers'!_16_06_217</vt:lpstr>
      <vt:lpstr>'Data Détecteur IA'!_16_06_217</vt:lpstr>
      <vt:lpstr>'Data Activité Béliers'!_16_06_218</vt:lpstr>
      <vt:lpstr>'Data Détecteur IA'!_16_06_218</vt:lpstr>
      <vt:lpstr>'Data Activité Béliers'!_16_06_219</vt:lpstr>
      <vt:lpstr>'Data Détecteur IA'!_16_06_219</vt:lpstr>
      <vt:lpstr>'Data Activité Béliers'!_16_06_22</vt:lpstr>
      <vt:lpstr>'Data Détecteur IA'!_16_06_22</vt:lpstr>
      <vt:lpstr>'Data Activité Béliers'!_16_06_220</vt:lpstr>
      <vt:lpstr>'Data Détecteur IA'!_16_06_220</vt:lpstr>
      <vt:lpstr>'Data Activité Béliers'!_16_06_221</vt:lpstr>
      <vt:lpstr>'Data Détecteur IA'!_16_06_221</vt:lpstr>
      <vt:lpstr>'Data Activité Béliers'!_16_06_222</vt:lpstr>
      <vt:lpstr>'Data Détecteur IA'!_16_06_222</vt:lpstr>
      <vt:lpstr>'Data Activité Béliers'!_16_06_223</vt:lpstr>
      <vt:lpstr>'Data Détecteur IA'!_16_06_223</vt:lpstr>
      <vt:lpstr>'Data Activité Béliers'!_16_06_224</vt:lpstr>
      <vt:lpstr>'Data Détecteur IA'!_16_06_224</vt:lpstr>
      <vt:lpstr>'Data Activité Béliers'!_16_06_225</vt:lpstr>
      <vt:lpstr>'Data Détecteur IA'!_16_06_225</vt:lpstr>
      <vt:lpstr>'Data Activité Béliers'!_16_06_226</vt:lpstr>
      <vt:lpstr>'Data Détecteur IA'!_16_06_226</vt:lpstr>
      <vt:lpstr>'Data Activité Béliers'!_16_06_227</vt:lpstr>
      <vt:lpstr>'Data Détecteur IA'!_16_06_227</vt:lpstr>
      <vt:lpstr>'Data Activité Béliers'!_16_06_228</vt:lpstr>
      <vt:lpstr>'Data Détecteur IA'!_16_06_228</vt:lpstr>
      <vt:lpstr>'Data Activité Béliers'!_16_06_229</vt:lpstr>
      <vt:lpstr>'Data Détecteur IA'!_16_06_229</vt:lpstr>
      <vt:lpstr>'Data Activité Béliers'!_16_06_23</vt:lpstr>
      <vt:lpstr>'Data Détecteur IA'!_16_06_23</vt:lpstr>
      <vt:lpstr>'Data Activité Béliers'!_16_06_230</vt:lpstr>
      <vt:lpstr>'Data Détecteur IA'!_16_06_230</vt:lpstr>
      <vt:lpstr>'Data Activité Béliers'!_16_06_231</vt:lpstr>
      <vt:lpstr>'Data Détecteur IA'!_16_06_231</vt:lpstr>
      <vt:lpstr>'Data Activité Béliers'!_16_06_232</vt:lpstr>
      <vt:lpstr>'Data Détecteur IA'!_16_06_232</vt:lpstr>
      <vt:lpstr>'Data Activité Béliers'!_16_06_233</vt:lpstr>
      <vt:lpstr>'Data Détecteur IA'!_16_06_233</vt:lpstr>
      <vt:lpstr>'Data Activité Béliers'!_16_06_234</vt:lpstr>
      <vt:lpstr>'Data Détecteur IA'!_16_06_234</vt:lpstr>
      <vt:lpstr>'Data Activité Béliers'!_16_06_235</vt:lpstr>
      <vt:lpstr>'Data Détecteur IA'!_16_06_235</vt:lpstr>
      <vt:lpstr>'Data Activité Béliers'!_16_06_236</vt:lpstr>
      <vt:lpstr>'Data Détecteur IA'!_16_06_236</vt:lpstr>
      <vt:lpstr>'Data Activité Béliers'!_16_06_237</vt:lpstr>
      <vt:lpstr>'Data Détecteur IA'!_16_06_237</vt:lpstr>
      <vt:lpstr>'Data Activité Béliers'!_16_06_238</vt:lpstr>
      <vt:lpstr>'Data Détecteur IA'!_16_06_238</vt:lpstr>
      <vt:lpstr>'Data Activité Béliers'!_16_06_239</vt:lpstr>
      <vt:lpstr>'Data Détecteur IA'!_16_06_239</vt:lpstr>
      <vt:lpstr>'Data Activité Béliers'!_16_06_24</vt:lpstr>
      <vt:lpstr>'Data Détecteur IA'!_16_06_24</vt:lpstr>
      <vt:lpstr>'Data Activité Béliers'!_16_06_240</vt:lpstr>
      <vt:lpstr>'Data Détecteur IA'!_16_06_240</vt:lpstr>
      <vt:lpstr>'Data Activité Béliers'!_16_06_241</vt:lpstr>
      <vt:lpstr>'Data Détecteur IA'!_16_06_241</vt:lpstr>
      <vt:lpstr>'Data Activité Béliers'!_16_06_242</vt:lpstr>
      <vt:lpstr>'Data Activité Béliers'!_16_06_243</vt:lpstr>
      <vt:lpstr>'Data Activité Béliers'!_16_06_244</vt:lpstr>
      <vt:lpstr>'Data Activité Béliers'!_16_06_245</vt:lpstr>
      <vt:lpstr>'Data Activité Béliers'!_16_06_246</vt:lpstr>
      <vt:lpstr>'Data Activité Béliers'!_16_06_247</vt:lpstr>
      <vt:lpstr>'Data Activité Béliers'!_16_06_248</vt:lpstr>
      <vt:lpstr>'Data Activité Béliers'!_16_06_249</vt:lpstr>
      <vt:lpstr>'Data Activité Béliers'!_16_06_25</vt:lpstr>
      <vt:lpstr>'Data Détecteur IA'!_16_06_25</vt:lpstr>
      <vt:lpstr>'Data Activité Béliers'!_16_06_250</vt:lpstr>
      <vt:lpstr>'Data Activité Béliers'!_16_06_251</vt:lpstr>
      <vt:lpstr>'Data Activité Béliers'!_16_06_252</vt:lpstr>
      <vt:lpstr>'Data Activité Béliers'!_16_06_253</vt:lpstr>
      <vt:lpstr>'Data Activité Béliers'!_16_06_254</vt:lpstr>
      <vt:lpstr>'Data Activité Béliers'!_16_06_255</vt:lpstr>
      <vt:lpstr>'Data Activité Béliers'!_16_06_256</vt:lpstr>
      <vt:lpstr>'Data Activité Béliers'!_16_06_257</vt:lpstr>
      <vt:lpstr>'Data Activité Béliers'!_16_06_258</vt:lpstr>
      <vt:lpstr>'Data Activité Béliers'!_16_06_259</vt:lpstr>
      <vt:lpstr>'Data Activité Béliers'!_16_06_26</vt:lpstr>
      <vt:lpstr>'Data Détecteur IA'!_16_06_26</vt:lpstr>
      <vt:lpstr>'Data Activité Béliers'!_16_06_260</vt:lpstr>
      <vt:lpstr>'Data Activité Béliers'!_16_06_261</vt:lpstr>
      <vt:lpstr>'Data Activité Béliers'!_16_06_27</vt:lpstr>
      <vt:lpstr>'Data Détecteur IA'!_16_06_27</vt:lpstr>
      <vt:lpstr>'Data Activité Béliers'!_16_06_28</vt:lpstr>
      <vt:lpstr>'Data Détecteur IA'!_16_06_28</vt:lpstr>
      <vt:lpstr>'Data Activité Béliers'!_16_06_29</vt:lpstr>
      <vt:lpstr>'Data Détecteur IA'!_16_06_29</vt:lpstr>
      <vt:lpstr>'Data Activité Béliers'!_16_06_30</vt:lpstr>
      <vt:lpstr>'Data Détecteur IA'!_16_06_30</vt:lpstr>
      <vt:lpstr>'Data Activité Béliers'!_16_06_31</vt:lpstr>
      <vt:lpstr>'Data Détecteur IA'!_16_06_31</vt:lpstr>
      <vt:lpstr>'Data Activité Béliers'!_16_06_32</vt:lpstr>
      <vt:lpstr>'Data Détecteur IA'!_16_06_32</vt:lpstr>
      <vt:lpstr>'Data Activité Béliers'!_16_06_33</vt:lpstr>
      <vt:lpstr>'Data Détecteur IA'!_16_06_33</vt:lpstr>
      <vt:lpstr>'Data Activité Béliers'!_16_06_34</vt:lpstr>
      <vt:lpstr>'Data Détecteur IA'!_16_06_34</vt:lpstr>
      <vt:lpstr>'Data Activité Béliers'!_16_06_35</vt:lpstr>
      <vt:lpstr>'Data Détecteur IA'!_16_06_35</vt:lpstr>
      <vt:lpstr>'Data Activité Béliers'!_16_06_36</vt:lpstr>
      <vt:lpstr>'Data Détecteur IA'!_16_06_36</vt:lpstr>
      <vt:lpstr>'Data Activité Béliers'!_16_06_37</vt:lpstr>
      <vt:lpstr>'Data Détecteur IA'!_16_06_37</vt:lpstr>
      <vt:lpstr>'Data Activité Béliers'!_16_06_38</vt:lpstr>
      <vt:lpstr>'Data Détecteur IA'!_16_06_38</vt:lpstr>
      <vt:lpstr>'Data Activité Béliers'!_16_06_39</vt:lpstr>
      <vt:lpstr>'Data Détecteur IA'!_16_06_39</vt:lpstr>
      <vt:lpstr>'Data Activité Béliers'!_16_06_40</vt:lpstr>
      <vt:lpstr>'Data Détecteur IA'!_16_06_40</vt:lpstr>
      <vt:lpstr>'Data Activité Béliers'!_16_06_41</vt:lpstr>
      <vt:lpstr>'Data Détecteur IA'!_16_06_41</vt:lpstr>
      <vt:lpstr>'Data Activité Béliers'!_16_06_42</vt:lpstr>
      <vt:lpstr>'Data Détecteur IA'!_16_06_42</vt:lpstr>
      <vt:lpstr>'Data Activité Béliers'!_16_06_43</vt:lpstr>
      <vt:lpstr>'Data Détecteur IA'!_16_06_43</vt:lpstr>
      <vt:lpstr>'Data Activité Béliers'!_16_06_44</vt:lpstr>
      <vt:lpstr>'Data Détecteur IA'!_16_06_44</vt:lpstr>
      <vt:lpstr>'Data Activité Béliers'!_16_06_45</vt:lpstr>
      <vt:lpstr>'Data Détecteur IA'!_16_06_45</vt:lpstr>
      <vt:lpstr>'Data Activité Béliers'!_16_06_46</vt:lpstr>
      <vt:lpstr>'Data Détecteur IA'!_16_06_46</vt:lpstr>
      <vt:lpstr>'Data Activité Béliers'!_16_06_47</vt:lpstr>
      <vt:lpstr>'Data Détecteur IA'!_16_06_47</vt:lpstr>
      <vt:lpstr>'Data Activité Béliers'!_16_06_48</vt:lpstr>
      <vt:lpstr>'Data Détecteur IA'!_16_06_48</vt:lpstr>
      <vt:lpstr>'Data Activité Béliers'!_16_06_49</vt:lpstr>
      <vt:lpstr>'Data Détecteur IA'!_16_06_49</vt:lpstr>
      <vt:lpstr>'Data Activité Béliers'!_16_06_50</vt:lpstr>
      <vt:lpstr>'Data Détecteur IA'!_16_06_50</vt:lpstr>
      <vt:lpstr>'Data Activité Béliers'!_16_06_51</vt:lpstr>
      <vt:lpstr>'Data Détecteur IA'!_16_06_51</vt:lpstr>
      <vt:lpstr>'Data Activité Béliers'!_16_06_52</vt:lpstr>
      <vt:lpstr>'Data Détecteur IA'!_16_06_52</vt:lpstr>
      <vt:lpstr>'Data Activité Béliers'!_16_06_53</vt:lpstr>
      <vt:lpstr>'Data Détecteur IA'!_16_06_53</vt:lpstr>
      <vt:lpstr>'Data Activité Béliers'!_16_06_54</vt:lpstr>
      <vt:lpstr>'Data Détecteur IA'!_16_06_54</vt:lpstr>
      <vt:lpstr>'Data Activité Béliers'!_16_06_55</vt:lpstr>
      <vt:lpstr>'Data Détecteur IA'!_16_06_55</vt:lpstr>
      <vt:lpstr>'Data Activité Béliers'!_16_06_56</vt:lpstr>
      <vt:lpstr>'Data Détecteur IA'!_16_06_56</vt:lpstr>
      <vt:lpstr>'Data Activité Béliers'!_16_06_57</vt:lpstr>
      <vt:lpstr>'Data Détecteur IA'!_16_06_57</vt:lpstr>
      <vt:lpstr>'Data Activité Béliers'!_16_06_58</vt:lpstr>
      <vt:lpstr>'Data Détecteur IA'!_16_06_58</vt:lpstr>
      <vt:lpstr>'Data Activité Béliers'!_16_06_59</vt:lpstr>
      <vt:lpstr>'Data Détecteur IA'!_16_06_59</vt:lpstr>
      <vt:lpstr>'Data Activité Béliers'!_16_06_60</vt:lpstr>
      <vt:lpstr>'Data Détecteur IA'!_16_06_60</vt:lpstr>
      <vt:lpstr>'Data Activité Béliers'!_16_06_61</vt:lpstr>
      <vt:lpstr>'Data Détecteur IA'!_16_06_61</vt:lpstr>
      <vt:lpstr>'Data Activité Béliers'!_16_06_62</vt:lpstr>
      <vt:lpstr>'Data Détecteur IA'!_16_06_62</vt:lpstr>
      <vt:lpstr>'Data Activité Béliers'!_16_06_63</vt:lpstr>
      <vt:lpstr>'Data Détecteur IA'!_16_06_63</vt:lpstr>
      <vt:lpstr>'Data Activité Béliers'!_16_06_64</vt:lpstr>
      <vt:lpstr>'Data Détecteur IA'!_16_06_64</vt:lpstr>
      <vt:lpstr>'Data Activité Béliers'!_16_06_65</vt:lpstr>
      <vt:lpstr>'Data Détecteur IA'!_16_06_65</vt:lpstr>
      <vt:lpstr>'Data Activité Béliers'!_16_06_66</vt:lpstr>
      <vt:lpstr>'Data Détecteur IA'!_16_06_66</vt:lpstr>
      <vt:lpstr>'Data Activité Béliers'!_16_06_67</vt:lpstr>
      <vt:lpstr>'Data Détecteur IA'!_16_06_67</vt:lpstr>
      <vt:lpstr>'Data Activité Béliers'!_16_06_68</vt:lpstr>
      <vt:lpstr>'Data Détecteur IA'!_16_06_68</vt:lpstr>
      <vt:lpstr>'Data Activité Béliers'!_16_06_69</vt:lpstr>
      <vt:lpstr>'Data Détecteur IA'!_16_06_69</vt:lpstr>
      <vt:lpstr>'Data Activité Béliers'!_16_06_70</vt:lpstr>
      <vt:lpstr>'Data Détecteur IA'!_16_06_70</vt:lpstr>
      <vt:lpstr>'Data Activité Béliers'!_16_06_71</vt:lpstr>
      <vt:lpstr>'Data Détecteur IA'!_16_06_71</vt:lpstr>
      <vt:lpstr>'Data Activité Béliers'!_16_06_72</vt:lpstr>
      <vt:lpstr>'Data Détecteur IA'!_16_06_72</vt:lpstr>
      <vt:lpstr>'Data Activité Béliers'!_16_06_73</vt:lpstr>
      <vt:lpstr>'Data Détecteur IA'!_16_06_73</vt:lpstr>
      <vt:lpstr>'Data Activité Béliers'!_16_06_74</vt:lpstr>
      <vt:lpstr>'Data Détecteur IA'!_16_06_74</vt:lpstr>
      <vt:lpstr>'Data Activité Béliers'!_16_06_75</vt:lpstr>
      <vt:lpstr>'Data Détecteur IA'!_16_06_75</vt:lpstr>
      <vt:lpstr>'Data Activité Béliers'!_16_06_76</vt:lpstr>
      <vt:lpstr>'Data Détecteur IA'!_16_06_76</vt:lpstr>
      <vt:lpstr>'Data Activité Béliers'!_16_06_77</vt:lpstr>
      <vt:lpstr>'Data Détecteur IA'!_16_06_77</vt:lpstr>
      <vt:lpstr>'Data Activité Béliers'!_16_06_78</vt:lpstr>
      <vt:lpstr>'Data Détecteur IA'!_16_06_78</vt:lpstr>
      <vt:lpstr>'Data Activité Béliers'!_16_06_79</vt:lpstr>
      <vt:lpstr>'Data Détecteur IA'!_16_06_79</vt:lpstr>
      <vt:lpstr>'Data Activité Béliers'!_16_06_80</vt:lpstr>
      <vt:lpstr>'Data Détecteur IA'!_16_06_80</vt:lpstr>
      <vt:lpstr>'Data Activité Béliers'!_16_06_81</vt:lpstr>
      <vt:lpstr>'Data Détecteur IA'!_16_06_81</vt:lpstr>
      <vt:lpstr>'Data Activité Béliers'!_16_06_82</vt:lpstr>
      <vt:lpstr>'Data Détecteur IA'!_16_06_82</vt:lpstr>
      <vt:lpstr>'Data Activité Béliers'!_16_06_83</vt:lpstr>
      <vt:lpstr>'Data Détecteur IA'!_16_06_83</vt:lpstr>
      <vt:lpstr>'Data Activité Béliers'!_16_06_84</vt:lpstr>
      <vt:lpstr>'Data Détecteur IA'!_16_06_84</vt:lpstr>
      <vt:lpstr>'Data Activité Béliers'!_16_06_85</vt:lpstr>
      <vt:lpstr>'Data Détecteur IA'!_16_06_85</vt:lpstr>
      <vt:lpstr>'Data Activité Béliers'!_16_06_86</vt:lpstr>
      <vt:lpstr>'Data Détecteur IA'!_16_06_86</vt:lpstr>
      <vt:lpstr>'Data Activité Béliers'!_16_06_87</vt:lpstr>
      <vt:lpstr>'Data Détecteur IA'!_16_06_87</vt:lpstr>
      <vt:lpstr>'Data Activité Béliers'!_16_06_88</vt:lpstr>
      <vt:lpstr>'Data Détecteur IA'!_16_06_88</vt:lpstr>
      <vt:lpstr>'Data Activité Béliers'!_16_06_89</vt:lpstr>
      <vt:lpstr>'Data Détecteur IA'!_16_06_89</vt:lpstr>
      <vt:lpstr>'Data Activité Béliers'!_16_06_90</vt:lpstr>
      <vt:lpstr>'Data Détecteur IA'!_16_06_90</vt:lpstr>
      <vt:lpstr>'Data Activité Béliers'!_16_06_91</vt:lpstr>
      <vt:lpstr>'Data Détecteur IA'!_16_06_91</vt:lpstr>
      <vt:lpstr>'Data Activité Béliers'!_16_06_92</vt:lpstr>
      <vt:lpstr>'Data Détecteur IA'!_16_06_92</vt:lpstr>
      <vt:lpstr>'Data Activité Béliers'!_16_06_93</vt:lpstr>
      <vt:lpstr>'Data Détecteur IA'!_16_06_93</vt:lpstr>
      <vt:lpstr>'Data Activité Béliers'!_16_06_94</vt:lpstr>
      <vt:lpstr>'Data Détecteur IA'!_16_06_94</vt:lpstr>
      <vt:lpstr>'Data Activité Béliers'!_16_06_95</vt:lpstr>
      <vt:lpstr>'Data Détecteur IA'!_16_06_95</vt:lpstr>
      <vt:lpstr>'Data Activité Béliers'!_16_06_96</vt:lpstr>
      <vt:lpstr>'Data Détecteur IA'!_16_06_96</vt:lpstr>
      <vt:lpstr>'Data Activité Béliers'!_16_06_97</vt:lpstr>
      <vt:lpstr>'Data Détecteur IA'!_16_06_97</vt:lpstr>
      <vt:lpstr>'Data Activité Béliers'!_16_06_98</vt:lpstr>
      <vt:lpstr>'Data Détecteur IA'!_16_06_98</vt:lpstr>
      <vt:lpstr>'Data Activité Béliers'!_16_06_99</vt:lpstr>
      <vt:lpstr>'Data Détecteur IA'!_16_06_99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</dc:creator>
  <cp:lastModifiedBy>Nathalie DEBUS</cp:lastModifiedBy>
  <cp:lastPrinted>2022-03-24T19:24:57Z</cp:lastPrinted>
  <dcterms:created xsi:type="dcterms:W3CDTF">2022-03-24T18:29:19Z</dcterms:created>
  <dcterms:modified xsi:type="dcterms:W3CDTF">2026-04-21T15:29:46Z</dcterms:modified>
</cp:coreProperties>
</file>